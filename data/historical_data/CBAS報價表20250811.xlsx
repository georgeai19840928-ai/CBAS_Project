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金融交易部資產交換選擇權報價表!$A$7:$V$145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25" i="1" l="1"/>
  <c r="D145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F145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C145" i="1" l="1"/>
  <c r="G145" i="1"/>
  <c r="I145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U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萬通300張2.9%
</t>
        </r>
      </text>
    </comment>
    <comment ref="U24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300國票3.25%
</t>
        </r>
      </text>
    </comment>
    <comment ref="U27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U36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U54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68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U7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U80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U94" authorId="0" shapeId="0">
      <text>
        <r>
          <rPr>
            <b/>
            <sz val="12"/>
            <color indexed="81"/>
            <rFont val="細明體"/>
            <family val="3"/>
            <charset val="136"/>
          </rPr>
          <t>中租100張4.25%</t>
        </r>
      </text>
    </comment>
    <comment ref="U97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U99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U100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U102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華票利率3.25%</t>
        </r>
      </text>
    </comment>
    <comment ref="U107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U119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U120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23" authorId="0" shapeId="0">
      <text>
        <r>
          <rPr>
            <b/>
            <sz val="9"/>
            <color indexed="81"/>
            <rFont val="細明體"/>
            <family val="3"/>
            <charset val="136"/>
          </rPr>
          <t>兆票</t>
        </r>
      </text>
    </comment>
    <comment ref="U124" authorId="0" shapeId="0">
      <text>
        <r>
          <rPr>
            <b/>
            <sz val="9"/>
            <color indexed="81"/>
            <rFont val="細明體"/>
            <family val="3"/>
            <charset val="136"/>
          </rPr>
          <t>兆票</t>
        </r>
      </text>
    </comment>
    <comment ref="U125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U138" authorId="0" shapeId="0">
      <text>
        <r>
          <rPr>
            <b/>
            <sz val="9"/>
            <color indexed="81"/>
            <rFont val="細明體"/>
            <family val="3"/>
            <charset val="136"/>
          </rPr>
          <t>大慶3.5%</t>
        </r>
      </text>
    </comment>
    <comment ref="U139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中租4.25%
大慶/遠銀3.5%
</t>
        </r>
      </text>
    </comment>
    <comment ref="U140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45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<sst xmlns="http://schemas.openxmlformats.org/spreadsheetml/2006/main" count="598" uniqueCount="227">
  <si>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</si>
  <si>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</si>
  <si>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</si>
  <si>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</si>
  <si>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</si>
  <si>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</si>
  <si>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</si>
  <si>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</si>
  <si>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</si>
  <si>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</si>
  <si>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</si>
  <si>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</si>
  <si>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</si>
  <si>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</si>
  <si>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</si>
  <si>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</si>
  <si>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</si>
  <si>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</si>
  <si>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</si>
  <si>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</si>
  <si>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</si>
  <si>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</si>
  <si>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</si>
  <si>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</si>
  <si>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</si>
  <si>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</si>
  <si>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</si>
  <si>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</si>
  <si>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新掛牌</t>
    <phoneticPr fontId="9" type="noConversion"/>
  </si>
  <si>
    <t>8/8(五)</t>
    <phoneticPr fontId="9" type="noConversion"/>
  </si>
  <si>
    <t>NEXT PUT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</si>
  <si>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</si>
  <si>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</si>
  <si>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</si>
  <si>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大樹三</t>
    <phoneticPr fontId="9" type="noConversion"/>
  </si>
  <si>
    <t>8/4(一)</t>
    <phoneticPr fontId="9" type="noConversion"/>
  </si>
  <si>
    <t>南俊國際一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</si>
  <si>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</si>
  <si>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</si>
  <si>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</si>
  <si>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</si>
  <si>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</si>
  <si>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</si>
  <si>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</si>
  <si>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</si>
  <si>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</si>
  <si>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</si>
  <si>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</si>
  <si>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</si>
  <si>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</si>
  <si>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</si>
  <si>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</si>
  <si>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</si>
  <si>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</si>
  <si>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</si>
  <si>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</si>
  <si>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</si>
  <si>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</si>
  <si>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9.價格事件70元。</t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</si>
  <si>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</si>
  <si>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</si>
  <si>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</si>
  <si>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</si>
  <si>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</si>
  <si>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</si>
  <si>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</si>
  <si>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</si>
  <si>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</si>
  <si>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三地開發一</t>
  </si>
  <si>
    <t>有，台中商業銀行股份有限公司</t>
  </si>
  <si>
    <t>聚隆四</t>
  </si>
  <si>
    <t>7</t>
  </si>
  <si>
    <t>三洋實業二</t>
  </si>
  <si>
    <t>亞力二</t>
  </si>
  <si>
    <t>6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</si>
  <si>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</si>
  <si>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</si>
  <si>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</si>
  <si>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</si>
  <si>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</si>
  <si>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</si>
  <si>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大亞五</t>
  </si>
  <si>
    <t>合世三</t>
  </si>
  <si>
    <t>有，華南商業銀行股份有限公司</t>
  </si>
  <si>
    <t>科妍三</t>
  </si>
  <si>
    <t>劍麟三</t>
  </si>
  <si>
    <t>汎德永業一</t>
  </si>
  <si>
    <t>汎德永業二</t>
  </si>
  <si>
    <t>順德一</t>
  </si>
  <si>
    <t>金像電二</t>
  </si>
  <si>
    <t>台光電六</t>
  </si>
  <si>
    <t>3</t>
  </si>
  <si>
    <t>偉詮電一</t>
  </si>
  <si>
    <t>美律四</t>
  </si>
  <si>
    <t>光群雷六</t>
  </si>
  <si>
    <t>鉅祥二</t>
  </si>
  <si>
    <t>皇普三</t>
  </si>
  <si>
    <t>有，元大商業銀行股份有限公司</t>
  </si>
  <si>
    <t>華航七</t>
  </si>
  <si>
    <t>王品一</t>
  </si>
  <si>
    <t>揚秦一</t>
  </si>
  <si>
    <t>聯發國際一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</si>
  <si>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</si>
  <si>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</si>
  <si>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</si>
  <si>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</si>
  <si>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</si>
  <si>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</si>
  <si>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</si>
  <si>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</si>
  <si>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</si>
  <si>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</si>
  <si>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弘塑一</t>
  </si>
  <si>
    <t>虹冠電一</t>
  </si>
  <si>
    <t>昇貿五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</si>
  <si>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</si>
  <si>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</si>
  <si>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</si>
  <si>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</si>
  <si>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</si>
  <si>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</si>
  <si>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</si>
  <si>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</si>
  <si>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</si>
  <si>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</si>
  <si>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</si>
  <si>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</si>
  <si>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</si>
  <si>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</si>
  <si>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</si>
  <si>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</si>
  <si>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凡甲七</t>
  </si>
  <si>
    <t>兆利二</t>
  </si>
  <si>
    <t>兆利三</t>
  </si>
  <si>
    <t>辛耘一</t>
  </si>
  <si>
    <t>閎康一</t>
  </si>
  <si>
    <t>碩天三</t>
  </si>
  <si>
    <t>健策四</t>
  </si>
  <si>
    <t>健策五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</si>
  <si>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</si>
  <si>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</si>
  <si>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</si>
  <si>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</si>
  <si>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</si>
  <si>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</si>
  <si>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晟德六</t>
  </si>
  <si>
    <t>有，永豐商業銀行股份有限公司忠孝分公司</t>
  </si>
  <si>
    <t>聯合五</t>
  </si>
  <si>
    <t>承業醫五</t>
  </si>
  <si>
    <t>三圓三</t>
  </si>
  <si>
    <t>廣越二</t>
  </si>
  <si>
    <t>全球傳動一</t>
  </si>
  <si>
    <t>氣立四</t>
  </si>
  <si>
    <t>有，彰化商業銀行</t>
  </si>
  <si>
    <t>駐龍一</t>
  </si>
  <si>
    <t>康普三</t>
  </si>
  <si>
    <t>有，彰化商業銀行股份有限公司</t>
  </si>
  <si>
    <t>正文六</t>
  </si>
  <si>
    <t>華星光三</t>
  </si>
  <si>
    <t>華星光四</t>
  </si>
  <si>
    <t>雷笛克光學三</t>
  </si>
  <si>
    <t>智晶一</t>
  </si>
  <si>
    <t>100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</si>
  <si>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</si>
  <si>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</si>
  <si>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</si>
  <si>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</si>
  <si>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</si>
  <si>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</si>
  <si>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</si>
  <si>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</si>
  <si>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</si>
  <si>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</si>
  <si>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</si>
  <si>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</si>
  <si>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創惟一</t>
  </si>
  <si>
    <t>松上五</t>
  </si>
  <si>
    <t>達麗七</t>
  </si>
  <si>
    <t>大豐電三</t>
  </si>
  <si>
    <t>萬潤五</t>
  </si>
  <si>
    <t>豐藝四</t>
  </si>
  <si>
    <t>萬泰科六</t>
  </si>
  <si>
    <t>帆宣五</t>
  </si>
  <si>
    <t>佳必琪三</t>
  </si>
  <si>
    <t>旺矽五</t>
  </si>
  <si>
    <t>台郡五</t>
  </si>
  <si>
    <t>台郡六</t>
  </si>
  <si>
    <t>佳邦三</t>
  </si>
  <si>
    <t>良維十</t>
  </si>
  <si>
    <t>樺漢五</t>
  </si>
  <si>
    <t>易發一</t>
  </si>
  <si>
    <t>有，上海商業儲蓄銀行股份有限公司</t>
  </si>
  <si>
    <t>光聖一</t>
  </si>
  <si>
    <t>保瑞三</t>
  </si>
  <si>
    <t>易華電一</t>
  </si>
  <si>
    <t>鼎基一</t>
  </si>
  <si>
    <t>聚和六</t>
  </si>
  <si>
    <t>台灣銘板一</t>
  </si>
  <si>
    <t>萬年清一</t>
  </si>
  <si>
    <t>嘉基二</t>
  </si>
  <si>
    <t>龍德造船一</t>
  </si>
  <si>
    <t>志強一KY</t>
  </si>
  <si>
    <t>平和環保一創</t>
  </si>
  <si>
    <t>森崴能源一</t>
  </si>
  <si>
    <t>有，臺灣銀行股份有限公司土城分行等</t>
  </si>
  <si>
    <t>騰雲一</t>
  </si>
  <si>
    <t>騰雲二</t>
  </si>
  <si>
    <t>汎銓一</t>
  </si>
  <si>
    <t>錼創科技一KY創</t>
  </si>
  <si>
    <t>有，中國信託商業銀行</t>
  </si>
  <si>
    <t>博智一</t>
  </si>
  <si>
    <t>朋程一</t>
  </si>
  <si>
    <t>群聯二</t>
  </si>
  <si>
    <t>福貞三KY</t>
  </si>
  <si>
    <t>有，玉山商業銀行股份有限公司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</si>
  <si>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</si>
  <si>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</si>
  <si>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</si>
  <si>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</si>
  <si>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</si>
  <si>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</si>
  <si>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</si>
  <si>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</si>
  <si>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</si>
  <si>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</si>
  <si>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鈺齊六KY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</si>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</sst>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0_);[Red]\(0.00\)"/>
    <numFmt numFmtId="177" formatCode="yyyy/mm/dd"/>
    <numFmt numFmtId="178" formatCode="0.0000_ "/>
    <numFmt numFmtId="179" formatCode="0.00_ "/>
    <numFmt numFmtId="180" formatCode="#,##0_ "/>
    <numFmt numFmtId="181" formatCode="0_ "/>
  </numFmts>
  <fonts count="27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12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9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114">
    <xf numFmtId="0" fontId="0" fillId="0" borderId="0" xfId="0"/>
    <xf numFmtId="0" fontId="2" fillId="0" borderId="0" xfId="1" applyNumberFormat="1" applyFont="1" applyFill="1" applyBorder="1" applyAlignment="1" applyProtection="1">
      <alignment horizontal="right" vertical="center"/>
      <protection hidden="1"/>
    </xf>
    <xf numFmtId="0" fontId="5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Fill="1" applyAlignment="1">
      <alignment horizontal="right" vertical="center"/>
    </xf>
    <xf numFmtId="0" fontId="5" fillId="0" borderId="0" xfId="2" applyFont="1" applyFill="1" applyAlignment="1">
      <alignment vertical="center"/>
    </xf>
    <xf numFmtId="0" fontId="5" fillId="0" borderId="0" xfId="2" applyFont="1" applyAlignment="1">
      <alignment vertical="center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14" fontId="7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Alignment="1">
      <alignment horizontal="center" vertical="center"/>
    </xf>
    <xf numFmtId="176" fontId="10" fillId="0" borderId="0" xfId="1" applyNumberFormat="1" applyFont="1" applyFill="1" applyBorder="1" applyAlignment="1" applyProtection="1">
      <alignment horizontal="left" vertical="center"/>
      <protection hidden="1"/>
    </xf>
    <xf numFmtId="14" fontId="10" fillId="0" borderId="0" xfId="1" applyNumberFormat="1" applyFont="1" applyFill="1" applyBorder="1" applyAlignment="1" applyProtection="1">
      <alignment horizontal="left" vertical="center"/>
      <protection locked="0" hidden="1"/>
    </xf>
    <xf numFmtId="0" fontId="2" fillId="0" borderId="0" xfId="1" applyFont="1" applyFill="1" applyBorder="1" applyAlignment="1" applyProtection="1">
      <alignment vertical="center"/>
      <protection hidden="1"/>
    </xf>
    <xf numFmtId="176" fontId="2" fillId="0" borderId="0" xfId="1" applyNumberFormat="1" applyFont="1" applyFill="1" applyBorder="1" applyAlignment="1" applyProtection="1">
      <alignment vertical="center"/>
      <protection hidden="1"/>
    </xf>
    <xf numFmtId="176" fontId="2" fillId="0" borderId="0" xfId="1" applyNumberFormat="1" applyFont="1" applyFill="1" applyBorder="1" applyAlignment="1" applyProtection="1">
      <alignment horizontal="left" vertical="center"/>
      <protection hidden="1"/>
    </xf>
    <xf numFmtId="14" fontId="11" fillId="0" borderId="0" xfId="1" applyNumberFormat="1" applyFont="1" applyFill="1" applyBorder="1" applyAlignment="1" applyProtection="1">
      <alignment horizontal="left" vertical="center"/>
      <protection locked="0" hidden="1"/>
    </xf>
    <xf numFmtId="14" fontId="11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2" borderId="1" xfId="1" applyFont="1" applyFill="1" applyBorder="1" applyAlignment="1" applyProtection="1">
      <alignment horizontal="left" vertical="center"/>
      <protection hidden="1"/>
    </xf>
    <xf numFmtId="0" fontId="12" fillId="2" borderId="1" xfId="1" applyFont="1" applyFill="1" applyBorder="1" applyAlignment="1" applyProtection="1">
      <alignment horizontal="center" vertical="center"/>
      <protection hidden="1"/>
    </xf>
    <xf numFmtId="49" fontId="12" fillId="2" borderId="1" xfId="1" applyNumberFormat="1" applyFont="1" applyFill="1" applyBorder="1" applyAlignment="1" applyProtection="1">
      <alignment horizontal="left" vertical="center"/>
      <protection hidden="1"/>
    </xf>
    <xf numFmtId="176" fontId="12" fillId="2" borderId="1" xfId="1" applyNumberFormat="1" applyFont="1" applyFill="1" applyBorder="1" applyAlignment="1" applyProtection="1">
      <alignment horizontal="left" vertical="center" wrapText="1"/>
      <protection hidden="1"/>
    </xf>
    <xf numFmtId="0" fontId="12" fillId="2" borderId="1" xfId="1" applyFont="1" applyFill="1" applyBorder="1" applyAlignment="1" applyProtection="1">
      <alignment horizontal="left" vertical="center" wrapText="1"/>
      <protection hidden="1"/>
    </xf>
    <xf numFmtId="49" fontId="13" fillId="2" borderId="1" xfId="1" applyNumberFormat="1" applyFont="1" applyFill="1" applyBorder="1" applyAlignment="1" applyProtection="1">
      <alignment horizontal="center" vertical="center"/>
      <protection hidden="1"/>
    </xf>
    <xf numFmtId="14" fontId="13" fillId="2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Border="1" applyAlignment="1">
      <alignment horizontal="left" vertical="center"/>
    </xf>
    <xf numFmtId="0" fontId="13" fillId="0" borderId="0" xfId="2" applyFont="1" applyAlignment="1">
      <alignment vertical="center"/>
    </xf>
    <xf numFmtId="0" fontId="5" fillId="0" borderId="1" xfId="2" applyFont="1" applyFill="1" applyBorder="1" applyAlignment="1">
      <alignment horizontal="left" vertical="center" wrapText="1"/>
    </xf>
    <xf numFmtId="0" fontId="5" fillId="0" borderId="1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center" vertical="center" wrapText="1"/>
    </xf>
    <xf numFmtId="177" fontId="2" fillId="0" borderId="1" xfId="2" applyNumberFormat="1" applyFont="1" applyFill="1" applyBorder="1" applyAlignment="1">
      <alignment horizontal="center" vertical="center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8" fontId="2" fillId="0" borderId="1" xfId="2" applyNumberFormat="1" applyFont="1" applyFill="1" applyBorder="1" applyAlignment="1">
      <alignment horizontal="left" vertical="center" wrapText="1"/>
    </xf>
    <xf numFmtId="179" fontId="2" fillId="0" borderId="1" xfId="2" applyNumberFormat="1" applyFont="1" applyFill="1" applyBorder="1" applyAlignment="1">
      <alignment horizontal="center" vertical="center" wrapText="1"/>
    </xf>
    <xf numFmtId="10" fontId="5" fillId="0" borderId="1" xfId="2" applyNumberFormat="1" applyFont="1" applyFill="1" applyBorder="1" applyAlignment="1">
      <alignment horizontal="right" vertical="center"/>
    </xf>
    <xf numFmtId="179" fontId="5" fillId="0" borderId="1" xfId="2" applyNumberFormat="1" applyFont="1" applyFill="1" applyBorder="1" applyAlignment="1">
      <alignment horizontal="right" vertical="center"/>
    </xf>
    <xf numFmtId="9" fontId="5" fillId="0" borderId="1" xfId="2" applyNumberFormat="1" applyFont="1" applyFill="1" applyBorder="1" applyAlignment="1">
      <alignment horizontal="right" vertical="center"/>
    </xf>
    <xf numFmtId="9" fontId="2" fillId="0" borderId="1" xfId="2" applyNumberFormat="1" applyFont="1" applyFill="1" applyBorder="1" applyAlignment="1">
      <alignment horizontal="right" vertical="center" wrapText="1"/>
    </xf>
    <xf numFmtId="180" fontId="2" fillId="0" borderId="1" xfId="2" applyNumberFormat="1" applyFont="1" applyFill="1" applyBorder="1" applyAlignment="1">
      <alignment horizontal="left" vertical="center" wrapText="1"/>
    </xf>
    <xf numFmtId="180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left" vertical="center" wrapText="1"/>
    </xf>
    <xf numFmtId="10" fontId="5" fillId="0" borderId="0" xfId="2" applyNumberFormat="1" applyFont="1" applyFill="1" applyAlignment="1">
      <alignment vertical="center"/>
    </xf>
    <xf numFmtId="10" fontId="5" fillId="0" borderId="0" xfId="2" applyNumberFormat="1" applyFont="1" applyFill="1" applyAlignment="1">
      <alignment horizontal="right" vertical="center"/>
    </xf>
    <xf numFmtId="14" fontId="2" fillId="0" borderId="1" xfId="2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alignment vertical="center"/>
      <protection hidden="1"/>
    </xf>
    <xf numFmtId="0" fontId="2" fillId="0" borderId="0" xfId="1" applyNumberFormat="1" applyFont="1" applyFill="1" applyBorder="1" applyAlignment="1" applyProtection="1">
      <alignment horizontal="left" vertical="center"/>
      <protection hidden="1"/>
    </xf>
    <xf numFmtId="10" fontId="16" fillId="0" borderId="0" xfId="2" applyNumberFormat="1" applyFont="1" applyFill="1" applyBorder="1" applyAlignment="1">
      <alignment horizontal="right" vertical="center"/>
    </xf>
    <xf numFmtId="176" fontId="5" fillId="0" borderId="0" xfId="1" applyNumberFormat="1" applyFont="1" applyFill="1" applyBorder="1" applyAlignment="1" applyProtection="1">
      <alignment horizontal="left" vertical="center"/>
      <protection hidden="1"/>
    </xf>
    <xf numFmtId="176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2" xfId="0" applyFont="1" applyBorder="1" applyAlignment="1">
      <alignment vertical="center"/>
    </xf>
    <xf numFmtId="0" fontId="17" fillId="4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14" fontId="5" fillId="0" borderId="0" xfId="2" applyNumberFormat="1" applyFont="1" applyFill="1" applyAlignment="1">
      <alignment vertical="center"/>
    </xf>
    <xf numFmtId="0" fontId="5" fillId="3" borderId="2" xfId="0" applyFont="1" applyFill="1" applyBorder="1" applyAlignment="1">
      <alignment horizontal="right" vertical="center"/>
    </xf>
    <xf numFmtId="181" fontId="5" fillId="3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0" fontId="2" fillId="6" borderId="3" xfId="0" applyNumberFormat="1" applyFont="1" applyFill="1" applyBorder="1" applyAlignment="1">
      <alignment horizontal="center" vertical="center"/>
    </xf>
    <xf numFmtId="10" fontId="18" fillId="0" borderId="0" xfId="2" applyNumberFormat="1" applyFont="1" applyFill="1" applyBorder="1" applyAlignment="1">
      <alignment horizontal="left" vertical="center"/>
    </xf>
    <xf numFmtId="176" fontId="5" fillId="0" borderId="0" xfId="1" applyNumberFormat="1" applyFont="1" applyFill="1" applyBorder="1" applyAlignment="1" applyProtection="1">
      <alignment vertical="center"/>
      <protection hidden="1"/>
    </xf>
    <xf numFmtId="0" fontId="19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vertical="center" wrapText="1"/>
    </xf>
    <xf numFmtId="176" fontId="5" fillId="0" borderId="0" xfId="2" applyNumberFormat="1" applyFont="1" applyAlignment="1">
      <alignment vertical="center" wrapText="1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 wrapText="1"/>
    </xf>
    <xf numFmtId="0" fontId="20" fillId="0" borderId="0" xfId="1" applyNumberFormat="1" applyFont="1" applyFill="1" applyBorder="1" applyAlignment="1" applyProtection="1">
      <alignment vertical="center"/>
      <protection hidden="1"/>
    </xf>
    <xf numFmtId="0" fontId="20" fillId="0" borderId="0" xfId="2" applyFont="1" applyAlignment="1">
      <alignment vertical="center"/>
    </xf>
    <xf numFmtId="176" fontId="20" fillId="0" borderId="0" xfId="2" applyNumberFormat="1" applyFont="1" applyAlignment="1">
      <alignment vertical="center"/>
    </xf>
    <xf numFmtId="0" fontId="6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0" fontId="6" fillId="0" borderId="0" xfId="2" applyFont="1" applyAlignment="1">
      <alignment vertical="center"/>
    </xf>
    <xf numFmtId="0" fontId="6" fillId="0" borderId="0" xfId="2" applyFont="1" applyFill="1" applyAlignment="1">
      <alignment horizontal="right" vertical="center"/>
    </xf>
    <xf numFmtId="176" fontId="6" fillId="0" borderId="0" xfId="2" applyNumberFormat="1" applyFont="1" applyAlignment="1">
      <alignment vertical="center"/>
    </xf>
    <xf numFmtId="176" fontId="5" fillId="0" borderId="0" xfId="2" applyNumberFormat="1" applyFont="1" applyAlignment="1">
      <alignment vertical="center"/>
    </xf>
    <xf numFmtId="14" fontId="5" fillId="0" borderId="0" xfId="2" applyNumberFormat="1" applyFont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  <xf numFmtId="10" fontId="14" fillId="8" borderId="1" xfId="1" applyNumberFormat="1" applyFont="1" applyFill="1" applyBorder="1" applyAlignment="1" applyProtection="1">
      <alignment horizontal="center" vertical="center"/>
      <protection hidden="1"/>
    </xf>
    <xf numFmtId="10" fontId="15" fillId="8" borderId="1" xfId="2" applyNumberFormat="1" applyFont="1" applyFill="1" applyBorder="1" applyAlignment="1">
      <alignment horizontal="right" vertical="center"/>
    </xf>
    <xf numFmtId="180" fontId="14" fillId="8" borderId="1" xfId="2" applyNumberFormat="1" applyFont="1" applyFill="1" applyBorder="1" applyAlignment="1">
      <alignment horizontal="right" vertical="center" wrapText="1"/>
    </xf>
    <xf numFmtId="177" fontId="2" fillId="7" borderId="1" xfId="2" applyNumberFormat="1" applyFont="1" applyFill="1" applyBorder="1" applyAlignment="1">
      <alignment horizontal="center" vertical="center" wrapText="1"/>
    </xf>
    <xf numFmtId="0" fontId="2" fillId="0" borderId="1" xfId="1" applyNumberFormat="1" applyFont="1" applyFill="1" applyBorder="1" applyAlignment="1" applyProtection="1">
      <alignment vertical="center"/>
      <protection hidden="1"/>
    </xf>
    <xf numFmtId="0" fontId="5" fillId="0" borderId="0" xfId="2" applyFont="1" applyFill="1" applyBorder="1" applyAlignment="1">
      <alignment horizontal="left" vertical="center" wrapText="1"/>
    </xf>
    <xf numFmtId="0" fontId="2" fillId="0" borderId="1" xfId="1" applyNumberFormat="1" applyFont="1" applyFill="1" applyBorder="1" applyAlignment="1" applyProtection="1">
      <alignment horizontal="left" vertical="center"/>
      <protection hidden="1"/>
    </xf>
    <xf numFmtId="0" fontId="5" fillId="0" borderId="0" xfId="2" applyFont="1" applyFill="1" applyBorder="1" applyAlignment="1">
      <alignment horizontal="center" vertical="center" wrapText="1"/>
    </xf>
    <xf numFmtId="10" fontId="14" fillId="8" borderId="0" xfId="1" applyNumberFormat="1" applyFont="1" applyFill="1" applyBorder="1" applyAlignment="1" applyProtection="1">
      <alignment horizontal="center" vertical="center"/>
      <protection hidden="1"/>
    </xf>
    <xf numFmtId="10" fontId="16" fillId="0" borderId="1" xfId="2" applyNumberFormat="1" applyFont="1" applyFill="1" applyBorder="1" applyAlignment="1">
      <alignment horizontal="right" vertical="center"/>
    </xf>
    <xf numFmtId="10" fontId="15" fillId="8" borderId="0" xfId="2" applyNumberFormat="1" applyFont="1" applyFill="1" applyBorder="1" applyAlignment="1">
      <alignment horizontal="right" vertical="center"/>
    </xf>
    <xf numFmtId="177" fontId="2" fillId="0" borderId="0" xfId="2" applyNumberFormat="1" applyFont="1" applyFill="1" applyBorder="1" applyAlignment="1">
      <alignment horizontal="center" vertical="center" wrapText="1"/>
    </xf>
    <xf numFmtId="177" fontId="2" fillId="7" borderId="0" xfId="2" applyNumberFormat="1" applyFont="1" applyFill="1" applyBorder="1" applyAlignment="1">
      <alignment horizontal="center" vertical="center" wrapText="1"/>
    </xf>
    <xf numFmtId="176" fontId="2" fillId="0" borderId="1" xfId="1" applyNumberFormat="1" applyFont="1" applyFill="1" applyBorder="1" applyAlignment="1" applyProtection="1">
      <alignment vertical="center"/>
      <protection hidden="1"/>
    </xf>
    <xf numFmtId="176" fontId="2" fillId="0" borderId="0" xfId="1" applyNumberFormat="1" applyFont="1" applyFill="1" applyBorder="1" applyAlignment="1" applyProtection="1">
      <alignment horizontal="center" vertical="center"/>
      <protection hidden="1"/>
    </xf>
    <xf numFmtId="176" fontId="2" fillId="0" borderId="1" xfId="1" applyNumberFormat="1" applyFont="1" applyFill="1" applyBorder="1" applyAlignment="1" applyProtection="1">
      <alignment horizontal="left" vertical="center"/>
      <protection hidden="1"/>
    </xf>
    <xf numFmtId="178" fontId="2" fillId="0" borderId="0" xfId="2" applyNumberFormat="1" applyFont="1" applyFill="1" applyBorder="1" applyAlignment="1">
      <alignment horizontal="left" vertical="center" wrapText="1"/>
    </xf>
    <xf numFmtId="179" fontId="2" fillId="0" borderId="0" xfId="2" applyNumberFormat="1" applyFont="1" applyFill="1" applyBorder="1" applyAlignment="1">
      <alignment horizontal="center" vertical="center" wrapText="1"/>
    </xf>
    <xf numFmtId="10" fontId="5" fillId="0" borderId="0" xfId="2" applyNumberFormat="1" applyFont="1" applyFill="1" applyBorder="1" applyAlignment="1">
      <alignment horizontal="right" vertical="center"/>
    </xf>
    <xf numFmtId="179" fontId="5" fillId="0" borderId="0" xfId="2" applyNumberFormat="1" applyFont="1" applyFill="1" applyBorder="1" applyAlignment="1">
      <alignment horizontal="right" vertical="center"/>
    </xf>
    <xf numFmtId="9" fontId="5" fillId="0" borderId="0" xfId="2" applyNumberFormat="1" applyFont="1" applyFill="1" applyBorder="1" applyAlignment="1">
      <alignment horizontal="right" vertical="center"/>
    </xf>
    <xf numFmtId="180" fontId="14" fillId="8" borderId="0" xfId="2" applyNumberFormat="1" applyFont="1" applyFill="1" applyBorder="1" applyAlignment="1">
      <alignment horizontal="right" vertical="center" wrapText="1"/>
    </xf>
    <xf numFmtId="9" fontId="2" fillId="0" borderId="0" xfId="2" applyNumberFormat="1" applyFont="1" applyFill="1" applyBorder="1" applyAlignment="1">
      <alignment horizontal="right" vertical="center" wrapText="1"/>
    </xf>
    <xf numFmtId="176" fontId="5" fillId="0" borderId="1" xfId="1" applyNumberFormat="1" applyFont="1" applyFill="1" applyBorder="1" applyAlignment="1" applyProtection="1">
      <alignment horizontal="left" vertical="center"/>
      <protection hidden="1"/>
    </xf>
    <xf numFmtId="180" fontId="2" fillId="0" borderId="0" xfId="2" applyNumberFormat="1" applyFont="1" applyFill="1" applyBorder="1" applyAlignment="1">
      <alignment horizontal="left" vertical="center" wrapText="1"/>
    </xf>
    <xf numFmtId="176" fontId="5" fillId="0" borderId="1" xfId="1" applyNumberFormat="1" applyFont="1" applyFill="1" applyBorder="1" applyAlignment="1" applyProtection="1">
      <alignment horizontal="center" vertical="center"/>
      <protection hidden="1"/>
    </xf>
    <xf numFmtId="180" fontId="2" fillId="0" borderId="0" xfId="2" applyNumberFormat="1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 applyProtection="1">
      <alignment horizontal="center" vertical="center"/>
      <protection hidden="1"/>
    </xf>
    <xf numFmtId="14" fontId="2" fillId="0" borderId="0" xfId="2" applyNumberFormat="1" applyFont="1" applyFill="1" applyBorder="1" applyAlignment="1">
      <alignment horizontal="center" vertical="center" wrapText="1"/>
    </xf>
    <xf numFmtId="10" fontId="2" fillId="6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80" fontId="2" fillId="6" borderId="3" xfId="0" applyNumberFormat="1" applyFont="1" applyFill="1" applyBorder="1" applyAlignment="1">
      <alignment horizontal="center" vertical="center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0" fontId="17" fillId="5" borderId="3" xfId="0" applyFont="1" applyFill="1" applyBorder="1" applyAlignment="1">
      <alignment horizontal="center" vertical="center"/>
    </xf>
  </cellXfs>
  <cellStyles count="3">
    <cellStyle name="一般" xfId="0" builtinId="0"/>
    <cellStyle name="一般 3" xfId="2"/>
    <cellStyle name="一般_20060719CB操作簡表" xfId="1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153</xdr:row>
      <xdr:rowOff>0</xdr:rowOff>
    </xdr:from>
    <xdr:to>
      <xdr:col>4</xdr:col>
      <xdr:colOff>0</xdr:colOff>
      <xdr:row>153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4762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157</xdr:row>
      <xdr:rowOff>0</xdr:rowOff>
    </xdr:from>
    <xdr:to>
      <xdr:col>4</xdr:col>
      <xdr:colOff>0</xdr:colOff>
      <xdr:row>157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5626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153</xdr:row>
      <xdr:rowOff>0</xdr:rowOff>
    </xdr:from>
    <xdr:to>
      <xdr:col>4</xdr:col>
      <xdr:colOff>0</xdr:colOff>
      <xdr:row>153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4762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157</xdr:row>
      <xdr:rowOff>0</xdr:rowOff>
    </xdr:from>
    <xdr:to>
      <xdr:col>4</xdr:col>
      <xdr:colOff>0</xdr:colOff>
      <xdr:row>157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5626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152</xdr:row>
      <xdr:rowOff>0</xdr:rowOff>
    </xdr:from>
    <xdr:to>
      <xdr:col>4</xdr:col>
      <xdr:colOff>0</xdr:colOff>
      <xdr:row>152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4546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156</xdr:row>
      <xdr:rowOff>0</xdr:rowOff>
    </xdr:from>
    <xdr:to>
      <xdr:col>4</xdr:col>
      <xdr:colOff>0</xdr:colOff>
      <xdr:row>156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5410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153</xdr:row>
      <xdr:rowOff>0</xdr:rowOff>
    </xdr:from>
    <xdr:to>
      <xdr:col>4</xdr:col>
      <xdr:colOff>0</xdr:colOff>
      <xdr:row>153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762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157</xdr:row>
      <xdr:rowOff>0</xdr:rowOff>
    </xdr:from>
    <xdr:to>
      <xdr:col>4</xdr:col>
      <xdr:colOff>0</xdr:colOff>
      <xdr:row>157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626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153</xdr:row>
      <xdr:rowOff>0</xdr:rowOff>
    </xdr:from>
    <xdr:to>
      <xdr:col>4</xdr:col>
      <xdr:colOff>0</xdr:colOff>
      <xdr:row>153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762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157</xdr:row>
      <xdr:rowOff>0</xdr:rowOff>
    </xdr:from>
    <xdr:to>
      <xdr:col>4</xdr:col>
      <xdr:colOff>0</xdr:colOff>
      <xdr:row>157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626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152</xdr:row>
      <xdr:rowOff>0</xdr:rowOff>
    </xdr:from>
    <xdr:to>
      <xdr:col>4</xdr:col>
      <xdr:colOff>0</xdr:colOff>
      <xdr:row>152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546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V162"/>
  <sheetViews>
    <sheetView tabSelected="1" zoomScale="75" zoomScaleNormal="75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H12" sqref="H12:I12"/>
    </sheetView>
  </sheetViews>
  <sheetFormatPr defaultColWidth="8.7265625" defaultRowHeight="17.25" customHeight="1" x14ac:dyDescent="0.4"/>
  <cols>
    <col min="1" max="1" width="15.08984375" style="7" customWidth="1"/>
    <col min="2" max="2" width="8.08984375" style="3" customWidth="1"/>
    <col min="3" max="3" width="19.26953125" style="3" customWidth="1"/>
    <col min="4" max="4" width="8.453125" style="7" bestFit="1" customWidth="1"/>
    <col min="5" max="5" width="14.453125" style="7" customWidth="1"/>
    <col min="6" max="6" width="11.81640625" style="6" customWidth="1"/>
    <col min="7" max="7" width="14.453125" style="7" customWidth="1"/>
    <col min="8" max="8" width="13.08984375" style="7" customWidth="1"/>
    <col min="9" max="9" width="12.453125" style="77" customWidth="1"/>
    <col min="10" max="10" width="12.36328125" style="3" customWidth="1"/>
    <col min="11" max="11" width="11" style="3" customWidth="1"/>
    <col min="12" max="12" width="12.6328125" style="6" customWidth="1"/>
    <col min="13" max="13" width="11.08984375" style="6" customWidth="1"/>
    <col min="14" max="14" width="11" style="6" customWidth="1"/>
    <col min="15" max="15" width="12.6328125" style="6" customWidth="1"/>
    <col min="16" max="16" width="11.453125" style="6" customWidth="1"/>
    <col min="17" max="17" width="16.08984375" style="6" customWidth="1"/>
    <col min="18" max="18" width="13.453125" style="4" customWidth="1"/>
    <col min="19" max="19" width="15.90625" style="14" customWidth="1"/>
    <col min="20" max="20" width="12.90625" style="79" customWidth="1"/>
    <col min="21" max="21" width="8.90625" style="7" hidden="1" customWidth="1"/>
    <col min="22" max="22" width="9.6328125" style="2" hidden="1" customWidth="1"/>
    <col min="23" max="16384" width="8.7265625" style="7"/>
  </cols>
  <sheetData>
    <row r="1" spans="1:22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</row>
    <row r="2" spans="1:22" ht="17.25" customHeight="1" x14ac:dyDescent="0.4">
      <c r="A2" s="112" t="s">
        <v>0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8"/>
      <c r="T2" s="9"/>
    </row>
    <row r="3" spans="1:22" ht="17.25" customHeight="1" x14ac:dyDescent="0.4">
      <c r="A3" s="112" t="s">
        <v>1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8"/>
      <c r="T3" s="9"/>
    </row>
    <row r="4" spans="1:22" ht="17.25" customHeight="1" x14ac:dyDescent="0.4">
      <c r="A4" s="112" t="s">
        <v>2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8"/>
      <c r="T4" s="9"/>
    </row>
    <row r="5" spans="1:22" s="11" customFormat="1" ht="17.25" customHeight="1" x14ac:dyDescent="0.4">
      <c r="A5" s="10"/>
      <c r="C5" s="10"/>
      <c r="E5" s="10"/>
      <c r="F5" s="10"/>
      <c r="H5" s="10"/>
      <c r="J5" s="10"/>
      <c r="M5" s="10"/>
      <c r="O5" s="10"/>
      <c r="Q5" s="10"/>
      <c r="S5" s="12"/>
      <c r="T5" s="13"/>
    </row>
    <row r="6" spans="1:22" ht="17.25" customHeight="1" x14ac:dyDescent="0.4">
      <c r="A6" s="15"/>
      <c r="B6" s="15" t="s">
        <v>4</v>
      </c>
      <c r="C6" s="16">
        <v>45880</v>
      </c>
      <c r="H6" s="17"/>
      <c r="I6" s="18"/>
      <c r="J6" s="19"/>
      <c r="K6" s="19"/>
      <c r="R6" s="20"/>
      <c r="S6" s="21" t="s">
        <v>3</v>
      </c>
      <c r="T6" s="21"/>
    </row>
    <row r="7" spans="1:22" s="30" customFormat="1" ht="18" customHeight="1" x14ac:dyDescent="0.4">
      <c r="A7" s="22" t="s">
        <v>5</v>
      </c>
      <c r="B7" s="22" t="s">
        <v>6</v>
      </c>
      <c r="C7" s="22" t="s">
        <v>7</v>
      </c>
      <c r="D7" s="22" t="s">
        <v>8</v>
      </c>
      <c r="E7" s="23" t="s">
        <v>9</v>
      </c>
      <c r="F7" s="24" t="s">
        <v>10</v>
      </c>
      <c r="G7" s="23" t="s">
        <v>11</v>
      </c>
      <c r="H7" s="22" t="s">
        <v>12</v>
      </c>
      <c r="I7" s="25" t="s">
        <v>13</v>
      </c>
      <c r="J7" s="26" t="s">
        <v>14</v>
      </c>
      <c r="K7" s="24" t="s">
        <v>15</v>
      </c>
      <c r="L7" s="24" t="s">
        <v>16</v>
      </c>
      <c r="M7" s="24" t="s">
        <v>17</v>
      </c>
      <c r="N7" s="24" t="s">
        <v>18</v>
      </c>
      <c r="O7" s="24" t="s">
        <v>19</v>
      </c>
      <c r="P7" s="24" t="s">
        <v>20</v>
      </c>
      <c r="Q7" s="24" t="s">
        <v>21</v>
      </c>
      <c r="R7" s="24" t="s">
        <v>22</v>
      </c>
      <c r="S7" s="27" t="s">
        <v>23</v>
      </c>
      <c r="T7" s="28" t="s">
        <v>24</v>
      </c>
      <c r="U7" s="7"/>
      <c r="V7" s="3" t="s">
        <v>25</v>
      </c>
    </row>
    <row r="8" spans="1:22" s="6" customFormat="1" ht="17.25" customHeight="1" x14ac:dyDescent="0.4">
      <c r="A8" s="31" t="s">
        <v>60</v>
      </c>
      <c r="B8" s="32">
        <v>11011</v>
      </c>
      <c r="C8" s="32" t="s">
        <v>61</v>
      </c>
      <c r="D8" s="33" t="s">
        <v>62</v>
      </c>
      <c r="E8" s="80">
        <v>7.0699999999999999E-2</v>
      </c>
      <c r="F8" s="81">
        <v>2.9000000000000001E-2</v>
      </c>
      <c r="G8" s="34">
        <v>46717</v>
      </c>
      <c r="H8" s="34">
        <v>46731</v>
      </c>
      <c r="I8" s="35">
        <v>2.3315068493150686</v>
      </c>
      <c r="J8" s="36">
        <v>100</v>
      </c>
      <c r="K8" s="37">
        <v>35.200000000000003</v>
      </c>
      <c r="L8" s="38">
        <v>0.69176136363636365</v>
      </c>
      <c r="M8" s="39">
        <v>98.15</v>
      </c>
      <c r="N8" s="40">
        <v>0.41884188911704329</v>
      </c>
      <c r="O8" s="82">
        <v>5220.0000000000055</v>
      </c>
      <c r="P8" s="41">
        <v>1</v>
      </c>
      <c r="Q8" s="41">
        <v>0.248</v>
      </c>
      <c r="R8" s="42" t="s">
        <v>26</v>
      </c>
      <c r="S8" s="43"/>
      <c r="T8" s="44"/>
      <c r="U8" s="45" t="str">
        <f t="shared" ref="U8:U39" si="0">A8</f>
        <v>台泥一永</v>
      </c>
      <c r="V8" s="46">
        <v>3.0000000000000001E-3</v>
      </c>
    </row>
    <row r="9" spans="1:22" s="6" customFormat="1" ht="17.25" customHeight="1" x14ac:dyDescent="0.4">
      <c r="A9" s="31" t="s">
        <v>63</v>
      </c>
      <c r="B9" s="32">
        <v>13164</v>
      </c>
      <c r="C9" s="32" t="s">
        <v>64</v>
      </c>
      <c r="D9" s="33" t="s">
        <v>65</v>
      </c>
      <c r="E9" s="80">
        <v>1.3399999999999999E-2</v>
      </c>
      <c r="F9" s="81">
        <v>2.1999999999999999E-2</v>
      </c>
      <c r="G9" s="34">
        <v>46037</v>
      </c>
      <c r="H9" s="34">
        <v>46051</v>
      </c>
      <c r="I9" s="35">
        <v>0.46849315068493153</v>
      </c>
      <c r="J9" s="36">
        <v>100</v>
      </c>
      <c r="K9" s="37">
        <v>14.7</v>
      </c>
      <c r="L9" s="38">
        <v>0.91156462585034026</v>
      </c>
      <c r="M9" s="39">
        <v>110</v>
      </c>
      <c r="N9" s="40">
        <v>0.20671641791044768</v>
      </c>
      <c r="O9" s="82">
        <v>11340</v>
      </c>
      <c r="P9" s="41">
        <v>0.33500000000000002</v>
      </c>
      <c r="Q9" s="41">
        <v>0.248</v>
      </c>
      <c r="R9" s="42" t="s">
        <v>26</v>
      </c>
      <c r="S9" s="43" t="s">
        <v>3</v>
      </c>
      <c r="T9" s="44"/>
      <c r="U9" s="45" t="str">
        <f t="shared" si="0"/>
        <v>上曜四</v>
      </c>
      <c r="V9" s="46">
        <v>3.0000000000000001E-3</v>
      </c>
    </row>
    <row r="10" spans="1:22" s="6" customFormat="1" ht="17.25" customHeight="1" x14ac:dyDescent="0.4">
      <c r="A10" s="31" t="s">
        <v>66</v>
      </c>
      <c r="B10" s="32">
        <v>13166</v>
      </c>
      <c r="C10" s="32" t="s">
        <v>67</v>
      </c>
      <c r="D10" s="33" t="s">
        <v>65</v>
      </c>
      <c r="E10" s="80">
        <v>3.1099999999999999E-2</v>
      </c>
      <c r="F10" s="81">
        <v>2.4E-2</v>
      </c>
      <c r="G10" s="34">
        <v>46370</v>
      </c>
      <c r="H10" s="34">
        <v>46383</v>
      </c>
      <c r="I10" s="35">
        <v>1.3780821917808219</v>
      </c>
      <c r="J10" s="36">
        <v>100.5</v>
      </c>
      <c r="K10" s="37">
        <v>17.399999999999999</v>
      </c>
      <c r="L10" s="38">
        <v>0.7701149425287358</v>
      </c>
      <c r="M10" s="39">
        <v>108</v>
      </c>
      <c r="N10" s="40">
        <v>0.40238805970149233</v>
      </c>
      <c r="O10" s="82">
        <v>11110</v>
      </c>
      <c r="P10" s="41">
        <v>1</v>
      </c>
      <c r="Q10" s="41">
        <v>0.248</v>
      </c>
      <c r="R10" s="42" t="s">
        <v>26</v>
      </c>
      <c r="S10" s="43"/>
      <c r="T10" s="44"/>
      <c r="U10" s="45" t="str">
        <f t="shared" si="0"/>
        <v>上曜六</v>
      </c>
      <c r="V10" s="46">
        <v>3.0000000000000001E-3</v>
      </c>
    </row>
    <row r="11" spans="1:22" s="6" customFormat="1" ht="17.25" customHeight="1" x14ac:dyDescent="0.4">
      <c r="A11" s="31" t="s">
        <v>68</v>
      </c>
      <c r="B11" s="32">
        <v>14381</v>
      </c>
      <c r="C11" s="32" t="s">
        <v>69</v>
      </c>
      <c r="D11" s="33" t="s">
        <v>65</v>
      </c>
      <c r="E11" s="80">
        <v>4.2200000000000008E-2</v>
      </c>
      <c r="F11" s="81">
        <v>2.3E-2</v>
      </c>
      <c r="G11" s="34">
        <v>46727</v>
      </c>
      <c r="H11" s="34">
        <v>46740</v>
      </c>
      <c r="I11" s="35">
        <v>2.3561643835616439</v>
      </c>
      <c r="J11" s="36">
        <v>101.50749999999999</v>
      </c>
      <c r="K11" s="37">
        <v>55.88</v>
      </c>
      <c r="L11" s="38">
        <v>0.6889763779527559</v>
      </c>
      <c r="M11" s="39">
        <v>124</v>
      </c>
      <c r="N11" s="40">
        <v>0.79977142857142869</v>
      </c>
      <c r="O11" s="82">
        <v>28220</v>
      </c>
      <c r="P11" s="41">
        <v>1</v>
      </c>
      <c r="Q11" s="41">
        <v>0.20699999999999999</v>
      </c>
      <c r="R11" s="42" t="s">
        <v>26</v>
      </c>
      <c r="S11" s="43"/>
      <c r="T11" s="44"/>
      <c r="U11" s="45" t="str">
        <f t="shared" si="0"/>
        <v>三地開發一</v>
      </c>
      <c r="V11" s="46">
        <v>3.0000000000000001E-3</v>
      </c>
    </row>
    <row r="12" spans="1:22" s="6" customFormat="1" ht="17.25" customHeight="1" x14ac:dyDescent="0.4">
      <c r="A12" s="31" t="s">
        <v>70</v>
      </c>
      <c r="B12" s="32">
        <v>14664</v>
      </c>
      <c r="C12" s="32" t="s">
        <v>69</v>
      </c>
      <c r="D12" s="33" t="s">
        <v>71</v>
      </c>
      <c r="E12" s="80">
        <v>6.88E-2</v>
      </c>
      <c r="F12" s="81">
        <v>2.3E-2</v>
      </c>
      <c r="G12" s="34">
        <v>46910</v>
      </c>
      <c r="H12" s="34">
        <v>46924</v>
      </c>
      <c r="I12" s="35">
        <v>2.8602739726027395</v>
      </c>
      <c r="J12" s="36">
        <v>100</v>
      </c>
      <c r="K12" s="37">
        <v>18.8</v>
      </c>
      <c r="L12" s="38">
        <v>0.79521276595744661</v>
      </c>
      <c r="M12" s="39">
        <v>104.5</v>
      </c>
      <c r="N12" s="40">
        <v>0.31411371237458219</v>
      </c>
      <c r="O12" s="82">
        <v>11380</v>
      </c>
      <c r="P12" s="41">
        <v>1</v>
      </c>
      <c r="Q12" s="41">
        <v>0.27</v>
      </c>
      <c r="R12" s="42" t="s">
        <v>26</v>
      </c>
      <c r="S12" s="43"/>
      <c r="T12" s="44"/>
      <c r="U12" s="45" t="str">
        <f t="shared" si="0"/>
        <v>聚隆四</v>
      </c>
      <c r="V12" s="46">
        <v>3.0000000000000001E-3</v>
      </c>
    </row>
    <row r="13" spans="1:22" s="6" customFormat="1" ht="17.25" customHeight="1" x14ac:dyDescent="0.4">
      <c r="A13" s="31" t="s">
        <v>72</v>
      </c>
      <c r="B13" s="32">
        <v>14722</v>
      </c>
      <c r="C13" s="32" t="s">
        <v>69</v>
      </c>
      <c r="D13" s="33" t="s">
        <v>71</v>
      </c>
      <c r="E13" s="80">
        <v>3.4400000000000007E-2</v>
      </c>
      <c r="F13" s="81">
        <v>2.3E-2</v>
      </c>
      <c r="G13" s="34">
        <v>46524</v>
      </c>
      <c r="H13" s="34">
        <v>46536</v>
      </c>
      <c r="I13" s="35">
        <v>1.7972602739726027</v>
      </c>
      <c r="J13" s="36">
        <v>101.0025</v>
      </c>
      <c r="K13" s="37">
        <v>98.6</v>
      </c>
      <c r="L13" s="38">
        <v>0.93407707910750504</v>
      </c>
      <c r="M13" s="39">
        <v>105.3</v>
      </c>
      <c r="N13" s="40">
        <v>0.12731596091205213</v>
      </c>
      <c r="O13" s="82">
        <v>8739.9999999999982</v>
      </c>
      <c r="P13" s="41">
        <v>1</v>
      </c>
      <c r="Q13" s="41">
        <v>0.375</v>
      </c>
      <c r="R13" s="42" t="s">
        <v>26</v>
      </c>
      <c r="S13" s="43"/>
      <c r="T13" s="44"/>
      <c r="U13" s="45" t="str">
        <f t="shared" si="0"/>
        <v>三洋實業二</v>
      </c>
      <c r="V13" s="46">
        <v>3.0000000000000001E-3</v>
      </c>
    </row>
    <row r="14" spans="1:22" s="6" customFormat="1" ht="17.25" customHeight="1" x14ac:dyDescent="0.4">
      <c r="A14" s="31" t="s">
        <v>73</v>
      </c>
      <c r="B14" s="32">
        <v>15142</v>
      </c>
      <c r="C14" s="32" t="s">
        <v>61</v>
      </c>
      <c r="D14" s="33" t="s">
        <v>74</v>
      </c>
      <c r="E14" s="80">
        <v>7.4300000000000005E-2</v>
      </c>
      <c r="F14" s="81">
        <v>3.2500000000000001E-2</v>
      </c>
      <c r="G14" s="34">
        <v>46751</v>
      </c>
      <c r="H14" s="34">
        <v>46765</v>
      </c>
      <c r="I14" s="35">
        <v>2.4246575342465753</v>
      </c>
      <c r="J14" s="36">
        <v>100.75190000000001</v>
      </c>
      <c r="K14" s="37">
        <v>113.2</v>
      </c>
      <c r="L14" s="38">
        <v>0.95406360424028269</v>
      </c>
      <c r="M14" s="39">
        <v>112</v>
      </c>
      <c r="N14" s="40">
        <v>0.17392592592592598</v>
      </c>
      <c r="O14" s="82">
        <v>19430</v>
      </c>
      <c r="P14" s="41">
        <v>1</v>
      </c>
      <c r="Q14" s="41">
        <v>0.29299999999999998</v>
      </c>
      <c r="R14" s="42" t="s">
        <v>27</v>
      </c>
      <c r="S14" s="43"/>
      <c r="T14" s="44"/>
      <c r="U14" s="45" t="str">
        <f t="shared" si="0"/>
        <v>亞力二</v>
      </c>
      <c r="V14" s="46">
        <v>3.0000000000000001E-3</v>
      </c>
    </row>
    <row r="15" spans="1:22" s="6" customFormat="1" ht="17.25" customHeight="1" x14ac:dyDescent="0.4">
      <c r="A15" s="31" t="s">
        <v>75</v>
      </c>
      <c r="B15" s="32">
        <v>15601</v>
      </c>
      <c r="C15" s="32" t="s">
        <v>61</v>
      </c>
      <c r="D15" s="33" t="s">
        <v>62</v>
      </c>
      <c r="E15" s="80">
        <v>4.9800000000000004E-2</v>
      </c>
      <c r="F15" s="81">
        <v>2.5000000000000001E-2</v>
      </c>
      <c r="G15" s="34">
        <v>46548</v>
      </c>
      <c r="H15" s="34">
        <v>46562</v>
      </c>
      <c r="I15" s="35">
        <v>1.8684931506849316</v>
      </c>
      <c r="J15" s="36">
        <v>100</v>
      </c>
      <c r="K15" s="37">
        <v>284.60000000000002</v>
      </c>
      <c r="L15" s="38">
        <v>1.0699226985242445</v>
      </c>
      <c r="M15" s="39">
        <v>124</v>
      </c>
      <c r="N15" s="40">
        <v>0.15896223316912986</v>
      </c>
      <c r="O15" s="82">
        <v>28980</v>
      </c>
      <c r="P15" s="41">
        <v>1</v>
      </c>
      <c r="Q15" s="41">
        <v>0.44800000000000001</v>
      </c>
      <c r="R15" s="42" t="s">
        <v>26</v>
      </c>
      <c r="S15" s="43"/>
      <c r="T15" s="47"/>
      <c r="U15" s="45" t="str">
        <f t="shared" si="0"/>
        <v>中砂一</v>
      </c>
      <c r="V15" s="46">
        <v>3.0000000000000001E-3</v>
      </c>
    </row>
    <row r="16" spans="1:22" s="6" customFormat="1" ht="17.25" customHeight="1" x14ac:dyDescent="0.4">
      <c r="A16" s="31" t="s">
        <v>76</v>
      </c>
      <c r="B16" s="32">
        <v>15864</v>
      </c>
      <c r="C16" s="32" t="s">
        <v>77</v>
      </c>
      <c r="D16" s="33" t="s">
        <v>65</v>
      </c>
      <c r="E16" s="80">
        <v>2.6199999999999998E-2</v>
      </c>
      <c r="F16" s="81">
        <v>2.1999999999999999E-2</v>
      </c>
      <c r="G16" s="34">
        <v>46251</v>
      </c>
      <c r="H16" s="34">
        <v>46264</v>
      </c>
      <c r="I16" s="35">
        <v>1.0520547945205478</v>
      </c>
      <c r="J16" s="36">
        <v>100</v>
      </c>
      <c r="K16" s="37">
        <v>31.08</v>
      </c>
      <c r="L16" s="38">
        <v>0.96525096525096532</v>
      </c>
      <c r="M16" s="39">
        <v>110.25</v>
      </c>
      <c r="N16" s="40">
        <v>0.14218999999999996</v>
      </c>
      <c r="O16" s="82">
        <v>12869.999999999998</v>
      </c>
      <c r="P16" s="41">
        <v>1</v>
      </c>
      <c r="Q16" s="41">
        <v>0.32</v>
      </c>
      <c r="R16" s="42" t="s">
        <v>26</v>
      </c>
      <c r="S16" s="43"/>
      <c r="T16" s="44"/>
      <c r="U16" s="45" t="str">
        <f t="shared" si="0"/>
        <v>和勤四</v>
      </c>
      <c r="V16" s="46">
        <v>3.0000000000000001E-3</v>
      </c>
    </row>
    <row r="17" spans="1:22" s="6" customFormat="1" ht="17.25" customHeight="1" x14ac:dyDescent="0.4">
      <c r="A17" s="31" t="s">
        <v>78</v>
      </c>
      <c r="B17" s="32">
        <v>15991</v>
      </c>
      <c r="C17" s="32" t="s">
        <v>79</v>
      </c>
      <c r="D17" s="33" t="s">
        <v>80</v>
      </c>
      <c r="E17" s="80">
        <v>9.0000000000000011E-3</v>
      </c>
      <c r="F17" s="81">
        <v>2.1999999999999999E-2</v>
      </c>
      <c r="G17" s="34">
        <v>45965</v>
      </c>
      <c r="H17" s="34">
        <v>45979</v>
      </c>
      <c r="I17" s="35">
        <v>0.27123287671232876</v>
      </c>
      <c r="J17" s="36">
        <v>100</v>
      </c>
      <c r="K17" s="37">
        <v>41.5</v>
      </c>
      <c r="L17" s="38">
        <v>0.80240963855421688</v>
      </c>
      <c r="M17" s="39">
        <v>100.95</v>
      </c>
      <c r="N17" s="40">
        <v>0.2580855855855857</v>
      </c>
      <c r="O17" s="82">
        <v>1850.000000000003</v>
      </c>
      <c r="P17" s="41">
        <v>1</v>
      </c>
      <c r="Q17" s="41">
        <v>0.21099999999999999</v>
      </c>
      <c r="R17" s="42" t="s">
        <v>26</v>
      </c>
      <c r="S17" s="43"/>
      <c r="T17" s="44"/>
      <c r="U17" s="45" t="str">
        <f t="shared" si="0"/>
        <v>宏佳騰一</v>
      </c>
      <c r="V17" s="46">
        <v>3.0000000000000001E-3</v>
      </c>
    </row>
    <row r="18" spans="1:22" s="6" customFormat="1" ht="17.25" customHeight="1" x14ac:dyDescent="0.4">
      <c r="A18" s="31" t="s">
        <v>81</v>
      </c>
      <c r="B18" s="32">
        <v>16095</v>
      </c>
      <c r="C18" s="32" t="s">
        <v>61</v>
      </c>
      <c r="D18" s="33" t="s">
        <v>80</v>
      </c>
      <c r="E18" s="80">
        <v>7.0300000000000001E-2</v>
      </c>
      <c r="F18" s="81">
        <v>3.5000000000000003E-2</v>
      </c>
      <c r="G18" s="34">
        <v>46646</v>
      </c>
      <c r="H18" s="34">
        <v>46660</v>
      </c>
      <c r="I18" s="35">
        <v>2.1369863013698631</v>
      </c>
      <c r="J18" s="36">
        <v>100.75</v>
      </c>
      <c r="K18" s="37">
        <v>51.3</v>
      </c>
      <c r="L18" s="38">
        <v>0.80896686159844056</v>
      </c>
      <c r="M18" s="39">
        <v>105.3</v>
      </c>
      <c r="N18" s="40">
        <v>0.30166024096385541</v>
      </c>
      <c r="O18" s="82">
        <v>12329.999999999996</v>
      </c>
      <c r="P18" s="41">
        <v>1</v>
      </c>
      <c r="Q18" s="41">
        <v>0.40799999999999997</v>
      </c>
      <c r="R18" s="42" t="s">
        <v>27</v>
      </c>
      <c r="S18" s="43"/>
      <c r="T18" s="44"/>
      <c r="U18" s="45" t="str">
        <f t="shared" si="0"/>
        <v>大亞五</v>
      </c>
      <c r="V18" s="46">
        <v>3.0000000000000001E-3</v>
      </c>
    </row>
    <row r="19" spans="1:22" s="6" customFormat="1" ht="17.25" customHeight="1" x14ac:dyDescent="0.4">
      <c r="A19" s="31" t="s">
        <v>82</v>
      </c>
      <c r="B19" s="32">
        <v>17813</v>
      </c>
      <c r="C19" s="32" t="s">
        <v>83</v>
      </c>
      <c r="D19" s="33" t="s">
        <v>71</v>
      </c>
      <c r="E19" s="80">
        <v>5.1800000000000006E-2</v>
      </c>
      <c r="F19" s="81">
        <v>2.3E-2</v>
      </c>
      <c r="G19" s="34">
        <v>46640</v>
      </c>
      <c r="H19" s="34">
        <v>46654</v>
      </c>
      <c r="I19" s="35">
        <v>2.1205479452054794</v>
      </c>
      <c r="J19" s="36">
        <v>100</v>
      </c>
      <c r="K19" s="37">
        <v>18</v>
      </c>
      <c r="L19" s="38">
        <v>0.78888888888888886</v>
      </c>
      <c r="M19" s="39">
        <v>104</v>
      </c>
      <c r="N19" s="40">
        <v>0.31830985915492965</v>
      </c>
      <c r="O19" s="82">
        <v>9180</v>
      </c>
      <c r="P19" s="41">
        <v>1</v>
      </c>
      <c r="Q19" s="41">
        <v>0.109</v>
      </c>
      <c r="R19" s="42" t="s">
        <v>26</v>
      </c>
      <c r="S19" s="43"/>
      <c r="T19" s="44"/>
      <c r="U19" s="45" t="str">
        <f t="shared" si="0"/>
        <v>合世三</v>
      </c>
      <c r="V19" s="46">
        <v>3.0000000000000001E-3</v>
      </c>
    </row>
    <row r="20" spans="1:22" s="6" customFormat="1" ht="17.25" customHeight="1" x14ac:dyDescent="0.4">
      <c r="A20" s="31" t="s">
        <v>84</v>
      </c>
      <c r="B20" s="32">
        <v>17863</v>
      </c>
      <c r="C20" s="32" t="s">
        <v>61</v>
      </c>
      <c r="D20" s="33" t="s">
        <v>74</v>
      </c>
      <c r="E20" s="80">
        <v>6.6800000000000012E-2</v>
      </c>
      <c r="F20" s="81">
        <v>4.2500000000000003E-2</v>
      </c>
      <c r="G20" s="34">
        <v>46587</v>
      </c>
      <c r="H20" s="34">
        <v>46600</v>
      </c>
      <c r="I20" s="35">
        <v>1.9726027397260273</v>
      </c>
      <c r="J20" s="36">
        <v>102.01</v>
      </c>
      <c r="K20" s="37">
        <v>116.5</v>
      </c>
      <c r="L20" s="38">
        <v>0.81545064377682408</v>
      </c>
      <c r="M20" s="39">
        <v>126</v>
      </c>
      <c r="N20" s="40">
        <v>0.54515789473684206</v>
      </c>
      <c r="O20" s="82">
        <v>32680.000000000004</v>
      </c>
      <c r="P20" s="41">
        <v>1</v>
      </c>
      <c r="Q20" s="41">
        <v>0.73099999999999998</v>
      </c>
      <c r="R20" s="42" t="s">
        <v>27</v>
      </c>
      <c r="S20" s="43"/>
      <c r="T20" s="47"/>
      <c r="U20" s="45" t="str">
        <f t="shared" si="0"/>
        <v>科妍三</v>
      </c>
      <c r="V20" s="46">
        <v>3.0000000000000001E-3</v>
      </c>
    </row>
    <row r="21" spans="1:22" s="6" customFormat="1" ht="17.25" customHeight="1" x14ac:dyDescent="0.4">
      <c r="A21" s="31" t="s">
        <v>85</v>
      </c>
      <c r="B21" s="32">
        <v>22283</v>
      </c>
      <c r="C21" s="32" t="s">
        <v>61</v>
      </c>
      <c r="D21" s="33" t="s">
        <v>80</v>
      </c>
      <c r="E21" s="80">
        <v>6.0400000000000002E-2</v>
      </c>
      <c r="F21" s="81">
        <v>2.8000000000000001E-2</v>
      </c>
      <c r="G21" s="34">
        <v>46615</v>
      </c>
      <c r="H21" s="34">
        <v>46628</v>
      </c>
      <c r="I21" s="35">
        <v>2.0493150684931507</v>
      </c>
      <c r="J21" s="36">
        <v>100</v>
      </c>
      <c r="K21" s="37">
        <v>85.36</v>
      </c>
      <c r="L21" s="38">
        <v>1.2300843486410498</v>
      </c>
      <c r="M21" s="39">
        <v>126</v>
      </c>
      <c r="N21" s="40">
        <v>2.4319999999999977E-2</v>
      </c>
      <c r="O21" s="82">
        <v>32040</v>
      </c>
      <c r="P21" s="41">
        <v>0.9996666666666667</v>
      </c>
      <c r="Q21" s="41">
        <v>0.42599999999999999</v>
      </c>
      <c r="R21" s="42" t="s">
        <v>26</v>
      </c>
      <c r="S21" s="43"/>
      <c r="T21" s="44"/>
      <c r="U21" s="45" t="str">
        <f t="shared" si="0"/>
        <v>劍麟三</v>
      </c>
      <c r="V21" s="46">
        <v>3.0000000000000001E-3</v>
      </c>
    </row>
    <row r="22" spans="1:22" s="6" customFormat="1" ht="17.25" customHeight="1" x14ac:dyDescent="0.4">
      <c r="A22" s="31" t="s">
        <v>86</v>
      </c>
      <c r="B22" s="32">
        <v>22471</v>
      </c>
      <c r="C22" s="32" t="s">
        <v>61</v>
      </c>
      <c r="D22" s="33" t="s">
        <v>62</v>
      </c>
      <c r="E22" s="80">
        <v>8.0700000000000008E-2</v>
      </c>
      <c r="F22" s="81">
        <v>2.7E-2</v>
      </c>
      <c r="G22" s="34">
        <v>46916</v>
      </c>
      <c r="H22" s="34">
        <v>46930</v>
      </c>
      <c r="I22" s="35">
        <v>2.8767123287671232</v>
      </c>
      <c r="J22" s="36">
        <v>100</v>
      </c>
      <c r="K22" s="37">
        <v>307.60000000000002</v>
      </c>
      <c r="L22" s="38">
        <v>0.97854356306892076</v>
      </c>
      <c r="M22" s="39">
        <v>107.6</v>
      </c>
      <c r="N22" s="40">
        <v>9.9593355481727472E-2</v>
      </c>
      <c r="O22" s="82">
        <v>15669.999999999995</v>
      </c>
      <c r="P22" s="41">
        <v>1</v>
      </c>
      <c r="Q22" s="41">
        <v>0.379</v>
      </c>
      <c r="R22" s="42" t="s">
        <v>26</v>
      </c>
      <c r="S22" s="43" t="s">
        <v>3</v>
      </c>
      <c r="T22" s="44"/>
      <c r="U22" s="45" t="str">
        <f t="shared" si="0"/>
        <v>汎德永業一</v>
      </c>
      <c r="V22" s="46">
        <v>3.0000000000000001E-3</v>
      </c>
    </row>
    <row r="23" spans="1:22" s="6" customFormat="1" ht="17.25" customHeight="1" x14ac:dyDescent="0.4">
      <c r="A23" s="31" t="s">
        <v>87</v>
      </c>
      <c r="B23" s="32">
        <v>22472</v>
      </c>
      <c r="C23" s="32" t="s">
        <v>61</v>
      </c>
      <c r="D23" s="33" t="s">
        <v>62</v>
      </c>
      <c r="E23" s="80">
        <v>8.1000000000000003E-2</v>
      </c>
      <c r="F23" s="81">
        <v>2.7E-2</v>
      </c>
      <c r="G23" s="34">
        <v>46920</v>
      </c>
      <c r="H23" s="34">
        <v>46934</v>
      </c>
      <c r="I23" s="35">
        <v>2.8876712328767122</v>
      </c>
      <c r="J23" s="36">
        <v>100</v>
      </c>
      <c r="K23" s="37">
        <v>297.8</v>
      </c>
      <c r="L23" s="38">
        <v>1.0107454667562121</v>
      </c>
      <c r="M23" s="39">
        <v>110</v>
      </c>
      <c r="N23" s="40">
        <v>8.8305647840531729E-2</v>
      </c>
      <c r="O23" s="82">
        <v>18100</v>
      </c>
      <c r="P23" s="41">
        <v>1</v>
      </c>
      <c r="Q23" s="41">
        <v>0.379</v>
      </c>
      <c r="R23" s="42" t="s">
        <v>26</v>
      </c>
      <c r="S23" s="43"/>
      <c r="T23" s="44"/>
      <c r="U23" s="45" t="str">
        <f t="shared" si="0"/>
        <v>汎德永業二</v>
      </c>
      <c r="V23" s="46">
        <v>3.0000000000000001E-3</v>
      </c>
    </row>
    <row r="24" spans="1:22" s="6" customFormat="1" ht="18" customHeight="1" x14ac:dyDescent="0.4">
      <c r="A24" s="31" t="s">
        <v>88</v>
      </c>
      <c r="B24" s="32">
        <v>23511</v>
      </c>
      <c r="C24" s="32" t="s">
        <v>61</v>
      </c>
      <c r="D24" s="33" t="s">
        <v>80</v>
      </c>
      <c r="E24" s="80">
        <v>9.5700000000000007E-2</v>
      </c>
      <c r="F24" s="81">
        <v>3.2500000000000001E-2</v>
      </c>
      <c r="G24" s="34">
        <v>46909</v>
      </c>
      <c r="H24" s="34">
        <v>46921</v>
      </c>
      <c r="I24" s="35">
        <v>2.8520547945205479</v>
      </c>
      <c r="J24" s="36">
        <v>100</v>
      </c>
      <c r="K24" s="37">
        <v>75</v>
      </c>
      <c r="L24" s="38">
        <v>1.0786666666666667</v>
      </c>
      <c r="M24" s="39">
        <v>121</v>
      </c>
      <c r="N24" s="40">
        <v>0.12175525339925841</v>
      </c>
      <c r="O24" s="82">
        <v>30569.999999999996</v>
      </c>
      <c r="P24" s="41">
        <v>1</v>
      </c>
      <c r="Q24" s="41">
        <v>0.26700000000000002</v>
      </c>
      <c r="R24" s="42" t="s">
        <v>26</v>
      </c>
      <c r="S24" s="43"/>
      <c r="T24" s="44"/>
      <c r="U24" s="45" t="str">
        <f t="shared" si="0"/>
        <v>順德一</v>
      </c>
      <c r="V24" s="46">
        <v>3.0000000000000001E-3</v>
      </c>
    </row>
    <row r="25" spans="1:22" s="6" customFormat="1" ht="18" customHeight="1" x14ac:dyDescent="0.4">
      <c r="A25" s="31" t="s">
        <v>89</v>
      </c>
      <c r="B25" s="32">
        <v>23682</v>
      </c>
      <c r="C25" s="32" t="s">
        <v>61</v>
      </c>
      <c r="D25" s="33" t="s">
        <v>62</v>
      </c>
      <c r="E25" s="80">
        <v>3.7300000000000007E-2</v>
      </c>
      <c r="F25" s="81">
        <v>2.5999999999999999E-2</v>
      </c>
      <c r="G25" s="34">
        <v>46349</v>
      </c>
      <c r="H25" s="34">
        <v>46361</v>
      </c>
      <c r="I25" s="35">
        <v>1.3178082191780822</v>
      </c>
      <c r="J25" s="36">
        <v>100</v>
      </c>
      <c r="K25" s="37">
        <v>214</v>
      </c>
      <c r="L25" s="38">
        <v>1.9112149532710283</v>
      </c>
      <c r="M25" s="39">
        <v>191</v>
      </c>
      <c r="N25" s="40">
        <v>-6.3569682151598127E-4</v>
      </c>
      <c r="O25" s="82">
        <v>94730</v>
      </c>
      <c r="P25" s="41">
        <v>0.5958</v>
      </c>
      <c r="Q25" s="41">
        <v>0.379</v>
      </c>
      <c r="R25" s="42" t="s">
        <v>27</v>
      </c>
      <c r="S25" s="43"/>
      <c r="T25" s="44"/>
      <c r="U25" s="45" t="str">
        <f t="shared" si="0"/>
        <v>金像電二</v>
      </c>
      <c r="V25" s="46">
        <v>3.0000000000000001E-3</v>
      </c>
    </row>
    <row r="26" spans="1:22" s="6" customFormat="1" ht="18" customHeight="1" x14ac:dyDescent="0.4">
      <c r="A26" s="31" t="s">
        <v>90</v>
      </c>
      <c r="B26" s="32">
        <v>23836</v>
      </c>
      <c r="C26" s="32" t="s">
        <v>61</v>
      </c>
      <c r="D26" s="33" t="s">
        <v>91</v>
      </c>
      <c r="E26" s="80">
        <v>5.6100000000000004E-2</v>
      </c>
      <c r="F26" s="81">
        <v>2.5000000000000001E-2</v>
      </c>
      <c r="G26" s="34">
        <v>46643</v>
      </c>
      <c r="H26" s="34">
        <v>46655</v>
      </c>
      <c r="I26" s="35">
        <v>2.1232876712328768</v>
      </c>
      <c r="J26" s="36">
        <v>100</v>
      </c>
      <c r="K26" s="37">
        <v>607.5</v>
      </c>
      <c r="L26" s="38">
        <v>1.8930041152263373</v>
      </c>
      <c r="M26" s="39">
        <v>190</v>
      </c>
      <c r="N26" s="40">
        <v>3.6956521739130821E-3</v>
      </c>
      <c r="O26" s="82">
        <v>95610</v>
      </c>
      <c r="P26" s="41">
        <v>0.61219999999999997</v>
      </c>
      <c r="Q26" s="41">
        <v>0.46400000000000002</v>
      </c>
      <c r="R26" s="42" t="s">
        <v>27</v>
      </c>
      <c r="S26" s="43"/>
      <c r="T26" s="44"/>
      <c r="U26" s="45" t="str">
        <f t="shared" si="0"/>
        <v>台光電六</v>
      </c>
      <c r="V26" s="46">
        <v>3.0000000000000001E-3</v>
      </c>
    </row>
    <row r="27" spans="1:22" s="6" customFormat="1" ht="17.25" customHeight="1" x14ac:dyDescent="0.4">
      <c r="A27" s="31" t="s">
        <v>92</v>
      </c>
      <c r="B27" s="32">
        <v>24361</v>
      </c>
      <c r="C27" s="32" t="s">
        <v>61</v>
      </c>
      <c r="D27" s="33" t="s">
        <v>80</v>
      </c>
      <c r="E27" s="80">
        <v>4.1000000000000009E-2</v>
      </c>
      <c r="F27" s="81">
        <v>3.5000000000000003E-2</v>
      </c>
      <c r="G27" s="34">
        <v>46262</v>
      </c>
      <c r="H27" s="83">
        <v>46276</v>
      </c>
      <c r="I27" s="35">
        <v>1.0849315068493151</v>
      </c>
      <c r="J27" s="36">
        <v>100</v>
      </c>
      <c r="K27" s="37">
        <v>58.4</v>
      </c>
      <c r="L27" s="38">
        <v>0.78852739726027399</v>
      </c>
      <c r="M27" s="39">
        <v>102.75</v>
      </c>
      <c r="N27" s="40">
        <v>0.3030618892508144</v>
      </c>
      <c r="O27" s="82">
        <v>6850.0000000000009</v>
      </c>
      <c r="P27" s="41">
        <v>0.99990909090909086</v>
      </c>
      <c r="Q27" s="41">
        <v>0.255</v>
      </c>
      <c r="R27" s="42" t="s">
        <v>27</v>
      </c>
      <c r="S27" s="43" t="s">
        <v>30</v>
      </c>
      <c r="T27" s="44"/>
      <c r="U27" s="45" t="str">
        <f t="shared" si="0"/>
        <v>偉詮電一</v>
      </c>
      <c r="V27" s="46">
        <v>3.0000000000000001E-3</v>
      </c>
    </row>
    <row r="28" spans="1:22" s="6" customFormat="1" ht="17.25" customHeight="1" x14ac:dyDescent="0.4">
      <c r="A28" s="31" t="s">
        <v>93</v>
      </c>
      <c r="B28" s="32">
        <v>24394</v>
      </c>
      <c r="C28" s="32" t="s">
        <v>61</v>
      </c>
      <c r="D28" s="33" t="s">
        <v>91</v>
      </c>
      <c r="E28" s="80">
        <v>5.0900000000000008E-2</v>
      </c>
      <c r="F28" s="81">
        <v>2.5000000000000001E-2</v>
      </c>
      <c r="G28" s="34">
        <v>46566</v>
      </c>
      <c r="H28" s="34">
        <v>46578</v>
      </c>
      <c r="I28" s="35">
        <v>1.9123287671232876</v>
      </c>
      <c r="J28" s="36">
        <v>100</v>
      </c>
      <c r="K28" s="37">
        <v>137.5</v>
      </c>
      <c r="L28" s="38">
        <v>0.8545454545454545</v>
      </c>
      <c r="M28" s="39">
        <v>105.8</v>
      </c>
      <c r="N28" s="40">
        <v>0.2380851063829787</v>
      </c>
      <c r="O28" s="82">
        <v>10889.999999999996</v>
      </c>
      <c r="P28" s="41">
        <v>1</v>
      </c>
      <c r="Q28" s="41">
        <v>0.29399999999999998</v>
      </c>
      <c r="R28" s="42" t="s">
        <v>26</v>
      </c>
      <c r="S28" s="43"/>
      <c r="T28" s="44"/>
      <c r="U28" s="45" t="str">
        <f t="shared" si="0"/>
        <v>美律四</v>
      </c>
      <c r="V28" s="46">
        <v>3.0000000000000001E-3</v>
      </c>
    </row>
    <row r="29" spans="1:22" s="6" customFormat="1" ht="17.25" customHeight="1" x14ac:dyDescent="0.4">
      <c r="A29" s="31" t="s">
        <v>31</v>
      </c>
      <c r="B29" s="32">
        <v>24395</v>
      </c>
      <c r="C29" s="32" t="s">
        <v>61</v>
      </c>
      <c r="D29" s="33" t="s">
        <v>91</v>
      </c>
      <c r="E29" s="80">
        <v>5.1700000000000003E-2</v>
      </c>
      <c r="F29" s="81">
        <v>2.5000000000000001E-2</v>
      </c>
      <c r="G29" s="34">
        <v>46576</v>
      </c>
      <c r="H29" s="34">
        <v>46590</v>
      </c>
      <c r="I29" s="35">
        <v>1.9452054794520548</v>
      </c>
      <c r="J29" s="36">
        <v>100</v>
      </c>
      <c r="K29" s="37">
        <v>133.5</v>
      </c>
      <c r="L29" s="38">
        <v>0.88014981273408244</v>
      </c>
      <c r="M29" s="39">
        <v>106.05</v>
      </c>
      <c r="N29" s="40">
        <v>0.20490851063829785</v>
      </c>
      <c r="O29" s="82">
        <v>11219.999999999996</v>
      </c>
      <c r="P29" s="41">
        <v>1</v>
      </c>
      <c r="Q29" s="41">
        <v>0.29399999999999998</v>
      </c>
      <c r="R29" s="42" t="s">
        <v>26</v>
      </c>
      <c r="S29" s="43"/>
      <c r="T29" s="44"/>
      <c r="U29" s="45" t="str">
        <f t="shared" si="0"/>
        <v>美律五</v>
      </c>
      <c r="V29" s="46">
        <v>3.0000000000000001E-3</v>
      </c>
    </row>
    <row r="30" spans="1:22" s="6" customFormat="1" ht="15.75" customHeight="1" x14ac:dyDescent="0.4">
      <c r="A30" s="31" t="s">
        <v>94</v>
      </c>
      <c r="B30" s="32">
        <v>24616</v>
      </c>
      <c r="C30" s="32" t="s">
        <v>69</v>
      </c>
      <c r="D30" s="33" t="s">
        <v>74</v>
      </c>
      <c r="E30" s="80">
        <v>1.66E-2</v>
      </c>
      <c r="F30" s="81">
        <v>2.1999999999999999E-2</v>
      </c>
      <c r="G30" s="34">
        <v>46091</v>
      </c>
      <c r="H30" s="34">
        <v>46105</v>
      </c>
      <c r="I30" s="35">
        <v>0.61643835616438358</v>
      </c>
      <c r="J30" s="36">
        <v>100</v>
      </c>
      <c r="K30" s="37">
        <v>14.5</v>
      </c>
      <c r="L30" s="38">
        <v>1.1793103448275863</v>
      </c>
      <c r="M30" s="39">
        <v>140</v>
      </c>
      <c r="N30" s="40">
        <v>0.18713450292397649</v>
      </c>
      <c r="O30" s="82">
        <v>41660</v>
      </c>
      <c r="P30" s="41">
        <v>0.44350000000000001</v>
      </c>
      <c r="Q30" s="41">
        <v>0.14899999999999999</v>
      </c>
      <c r="R30" s="42" t="s">
        <v>26</v>
      </c>
      <c r="S30" s="43"/>
      <c r="T30" s="44"/>
      <c r="U30" s="45" t="str">
        <f t="shared" si="0"/>
        <v>光群雷六</v>
      </c>
      <c r="V30" s="46">
        <v>3.0000000000000001E-3</v>
      </c>
    </row>
    <row r="31" spans="1:22" s="6" customFormat="1" ht="17.25" customHeight="1" x14ac:dyDescent="0.4">
      <c r="A31" s="31" t="s">
        <v>95</v>
      </c>
      <c r="B31" s="32">
        <v>24762</v>
      </c>
      <c r="C31" s="32" t="s">
        <v>61</v>
      </c>
      <c r="D31" s="33" t="s">
        <v>62</v>
      </c>
      <c r="E31" s="80">
        <v>4.1000000000000009E-2</v>
      </c>
      <c r="F31" s="81">
        <v>2.5999999999999999E-2</v>
      </c>
      <c r="G31" s="34">
        <v>46399</v>
      </c>
      <c r="H31" s="34">
        <v>46413</v>
      </c>
      <c r="I31" s="35">
        <v>1.4602739726027398</v>
      </c>
      <c r="J31" s="36">
        <v>100</v>
      </c>
      <c r="K31" s="37">
        <v>69.599999999999994</v>
      </c>
      <c r="L31" s="38">
        <v>1.2083333333333333</v>
      </c>
      <c r="M31" s="39">
        <v>126.55</v>
      </c>
      <c r="N31" s="40">
        <v>4.7310344827586226E-2</v>
      </c>
      <c r="O31" s="82">
        <v>30650</v>
      </c>
      <c r="P31" s="41">
        <v>0.76929999999999998</v>
      </c>
      <c r="Q31" s="41">
        <v>0.33300000000000002</v>
      </c>
      <c r="R31" s="42" t="s">
        <v>27</v>
      </c>
      <c r="S31" s="43"/>
      <c r="T31" s="44"/>
      <c r="U31" s="45" t="str">
        <f t="shared" si="0"/>
        <v>鉅祥二</v>
      </c>
      <c r="V31" s="46">
        <v>3.0000000000000001E-3</v>
      </c>
    </row>
    <row r="32" spans="1:22" s="6" customFormat="1" ht="17.25" customHeight="1" x14ac:dyDescent="0.4">
      <c r="A32" s="31" t="s">
        <v>96</v>
      </c>
      <c r="B32" s="32">
        <v>25283</v>
      </c>
      <c r="C32" s="32" t="s">
        <v>97</v>
      </c>
      <c r="D32" s="33" t="s">
        <v>65</v>
      </c>
      <c r="E32" s="80">
        <v>5.0500000000000003E-2</v>
      </c>
      <c r="F32" s="81">
        <v>2.3E-2</v>
      </c>
      <c r="G32" s="34">
        <v>46738</v>
      </c>
      <c r="H32" s="34">
        <v>46752</v>
      </c>
      <c r="I32" s="35">
        <v>2.3890410958904109</v>
      </c>
      <c r="J32" s="36">
        <v>100.752</v>
      </c>
      <c r="K32" s="37">
        <v>44.5</v>
      </c>
      <c r="L32" s="38">
        <v>0.63370786516853927</v>
      </c>
      <c r="M32" s="39">
        <v>108</v>
      </c>
      <c r="N32" s="40">
        <v>0.70425531914893635</v>
      </c>
      <c r="O32" s="82">
        <v>13050</v>
      </c>
      <c r="P32" s="41">
        <v>1</v>
      </c>
      <c r="Q32" s="41">
        <v>0.20799999999999999</v>
      </c>
      <c r="R32" s="42" t="s">
        <v>26</v>
      </c>
      <c r="S32" s="43"/>
      <c r="T32" s="44"/>
      <c r="U32" s="45" t="str">
        <f t="shared" si="0"/>
        <v>皇普三</v>
      </c>
      <c r="V32" s="46">
        <v>3.0000000000000001E-3</v>
      </c>
    </row>
    <row r="33" spans="1:22" s="6" customFormat="1" ht="17.25" customHeight="1" x14ac:dyDescent="0.4">
      <c r="A33" s="31" t="s">
        <v>98</v>
      </c>
      <c r="B33" s="32">
        <v>26107</v>
      </c>
      <c r="C33" s="32" t="s">
        <v>61</v>
      </c>
      <c r="D33" s="33" t="s">
        <v>62</v>
      </c>
      <c r="E33" s="80">
        <v>2.0899999999999998E-2</v>
      </c>
      <c r="F33" s="81">
        <v>2.5000000000000001E-2</v>
      </c>
      <c r="G33" s="34">
        <v>46126</v>
      </c>
      <c r="H33" s="34">
        <v>46140</v>
      </c>
      <c r="I33" s="35">
        <v>0.71232876712328763</v>
      </c>
      <c r="J33" s="36">
        <v>100</v>
      </c>
      <c r="K33" s="37">
        <v>16.899999999999999</v>
      </c>
      <c r="L33" s="38">
        <v>1.2396449704142012</v>
      </c>
      <c r="M33" s="39">
        <v>128.5</v>
      </c>
      <c r="N33" s="40">
        <v>3.6587112171837723E-2</v>
      </c>
      <c r="O33" s="82">
        <v>30589.999999999996</v>
      </c>
      <c r="P33" s="41">
        <v>0.22997777777777778</v>
      </c>
      <c r="Q33" s="41">
        <v>0.182</v>
      </c>
      <c r="R33" s="42" t="s">
        <v>27</v>
      </c>
      <c r="S33" s="43"/>
      <c r="T33" s="44"/>
      <c r="U33" s="45" t="str">
        <f t="shared" si="0"/>
        <v>華航七</v>
      </c>
      <c r="V33" s="46">
        <v>3.0000000000000001E-3</v>
      </c>
    </row>
    <row r="34" spans="1:22" s="6" customFormat="1" ht="17.25" customHeight="1" x14ac:dyDescent="0.4">
      <c r="A34" s="31" t="s">
        <v>99</v>
      </c>
      <c r="B34" s="32">
        <v>27271</v>
      </c>
      <c r="C34" s="32" t="s">
        <v>61</v>
      </c>
      <c r="D34" s="33" t="s">
        <v>62</v>
      </c>
      <c r="E34" s="80">
        <v>1.32E-2</v>
      </c>
      <c r="F34" s="81">
        <v>2.8000000000000001E-2</v>
      </c>
      <c r="G34" s="34">
        <v>46097</v>
      </c>
      <c r="H34" s="34">
        <v>46110</v>
      </c>
      <c r="I34" s="35">
        <v>0.63013698630136983</v>
      </c>
      <c r="J34" s="36">
        <v>100.75190000000001</v>
      </c>
      <c r="K34" s="37">
        <v>233.4</v>
      </c>
      <c r="L34" s="38">
        <v>0.97472150814053127</v>
      </c>
      <c r="M34" s="39">
        <v>112</v>
      </c>
      <c r="N34" s="40">
        <v>0.14904615384615391</v>
      </c>
      <c r="O34" s="82">
        <v>13319.999999999998</v>
      </c>
      <c r="P34" s="41">
        <v>0.99985714285714289</v>
      </c>
      <c r="Q34" s="41">
        <v>0.36099999999999999</v>
      </c>
      <c r="R34" s="42" t="s">
        <v>27</v>
      </c>
      <c r="S34" s="43"/>
      <c r="T34" s="44"/>
      <c r="U34" s="45" t="str">
        <f t="shared" si="0"/>
        <v>王品一</v>
      </c>
      <c r="V34" s="46">
        <v>3.0000000000000001E-3</v>
      </c>
    </row>
    <row r="35" spans="1:22" s="6" customFormat="1" ht="17.25" customHeight="1" x14ac:dyDescent="0.4">
      <c r="A35" s="31" t="s">
        <v>100</v>
      </c>
      <c r="B35" s="32">
        <v>27551</v>
      </c>
      <c r="C35" s="32" t="s">
        <v>61</v>
      </c>
      <c r="D35" s="33" t="s">
        <v>80</v>
      </c>
      <c r="E35" s="80">
        <v>8.8100000000000012E-2</v>
      </c>
      <c r="F35" s="81">
        <v>3.5000000000000003E-2</v>
      </c>
      <c r="G35" s="34">
        <v>46755</v>
      </c>
      <c r="H35" s="34">
        <v>46767</v>
      </c>
      <c r="I35" s="35">
        <v>2.43013698630137</v>
      </c>
      <c r="J35" s="36">
        <v>100</v>
      </c>
      <c r="K35" s="37">
        <v>106</v>
      </c>
      <c r="L35" s="38">
        <v>1.3867924528301887</v>
      </c>
      <c r="M35" s="39">
        <v>139</v>
      </c>
      <c r="N35" s="40">
        <v>2.3129251700679961E-3</v>
      </c>
      <c r="O35" s="82">
        <v>47810</v>
      </c>
      <c r="P35" s="41">
        <v>0.83799999999999997</v>
      </c>
      <c r="Q35" s="41">
        <v>0.23100000000000001</v>
      </c>
      <c r="R35" s="42" t="s">
        <v>27</v>
      </c>
      <c r="S35" s="43"/>
      <c r="T35" s="44"/>
      <c r="U35" s="45" t="str">
        <f t="shared" si="0"/>
        <v>揚秦一</v>
      </c>
      <c r="V35" s="46">
        <v>3.0000000000000001E-3</v>
      </c>
    </row>
    <row r="36" spans="1:22" s="6" customFormat="1" ht="17.25" customHeight="1" x14ac:dyDescent="0.4">
      <c r="A36" s="31" t="s">
        <v>101</v>
      </c>
      <c r="B36" s="32">
        <v>27561</v>
      </c>
      <c r="C36" s="32" t="s">
        <v>61</v>
      </c>
      <c r="D36" s="33" t="s">
        <v>80</v>
      </c>
      <c r="E36" s="80">
        <v>2.4999999999999998E-2</v>
      </c>
      <c r="F36" s="81">
        <v>0.04</v>
      </c>
      <c r="G36" s="34">
        <v>46160</v>
      </c>
      <c r="H36" s="34">
        <v>46172</v>
      </c>
      <c r="I36" s="35">
        <v>0.8</v>
      </c>
      <c r="J36" s="36">
        <v>101.0025</v>
      </c>
      <c r="K36" s="37">
        <v>91.3</v>
      </c>
      <c r="L36" s="38">
        <v>1.2760131434830231</v>
      </c>
      <c r="M36" s="39">
        <v>130</v>
      </c>
      <c r="N36" s="40">
        <v>1.8798283261802495E-2</v>
      </c>
      <c r="O36" s="82">
        <v>32500</v>
      </c>
      <c r="P36" s="41">
        <v>0.98333333333333328</v>
      </c>
      <c r="Q36" s="41">
        <v>0.55000000000000004</v>
      </c>
      <c r="R36" s="42" t="s">
        <v>27</v>
      </c>
      <c r="S36" s="43"/>
      <c r="T36" s="44"/>
      <c r="U36" s="45" t="str">
        <f t="shared" si="0"/>
        <v>聯發國際一</v>
      </c>
      <c r="V36" s="46">
        <v>3.0000000000000001E-3</v>
      </c>
    </row>
    <row r="37" spans="1:22" s="6" customFormat="1" ht="17.25" customHeight="1" x14ac:dyDescent="0.4">
      <c r="A37" s="31" t="s">
        <v>102</v>
      </c>
      <c r="B37" s="32">
        <v>30134</v>
      </c>
      <c r="C37" s="32" t="s">
        <v>103</v>
      </c>
      <c r="D37" s="33" t="s">
        <v>80</v>
      </c>
      <c r="E37" s="80">
        <v>5.3300000000000007E-2</v>
      </c>
      <c r="F37" s="81">
        <v>2.3E-2</v>
      </c>
      <c r="G37" s="34">
        <v>46664</v>
      </c>
      <c r="H37" s="34">
        <v>46678</v>
      </c>
      <c r="I37" s="35">
        <v>2.1863013698630138</v>
      </c>
      <c r="J37" s="36">
        <v>100</v>
      </c>
      <c r="K37" s="37">
        <v>143.80000000000001</v>
      </c>
      <c r="L37" s="38">
        <v>0.93184979137691226</v>
      </c>
      <c r="M37" s="39">
        <v>125.45</v>
      </c>
      <c r="N37" s="40">
        <v>0.3462470149253733</v>
      </c>
      <c r="O37" s="82">
        <v>30780</v>
      </c>
      <c r="P37" s="41">
        <v>1</v>
      </c>
      <c r="Q37" s="41">
        <v>0.47599999999999998</v>
      </c>
      <c r="R37" s="42" t="s">
        <v>26</v>
      </c>
      <c r="S37" s="43"/>
      <c r="T37" s="44"/>
      <c r="U37" s="45" t="str">
        <f t="shared" si="0"/>
        <v>晟銘電四</v>
      </c>
      <c r="V37" s="46">
        <v>3.0000000000000001E-3</v>
      </c>
    </row>
    <row r="38" spans="1:22" s="6" customFormat="1" ht="17.25" customHeight="1" x14ac:dyDescent="0.4">
      <c r="A38" s="31" t="s">
        <v>104</v>
      </c>
      <c r="B38" s="32">
        <v>30238</v>
      </c>
      <c r="C38" s="32" t="s">
        <v>61</v>
      </c>
      <c r="D38" s="33" t="s">
        <v>62</v>
      </c>
      <c r="E38" s="80">
        <v>1.15E-2</v>
      </c>
      <c r="F38" s="81">
        <v>2.5000000000000001E-2</v>
      </c>
      <c r="G38" s="34">
        <v>45989</v>
      </c>
      <c r="H38" s="34">
        <v>46003</v>
      </c>
      <c r="I38" s="35">
        <v>0.33698630136986302</v>
      </c>
      <c r="J38" s="36">
        <v>100</v>
      </c>
      <c r="K38" s="37">
        <v>270.89999999999998</v>
      </c>
      <c r="L38" s="38">
        <v>0.90439276485788123</v>
      </c>
      <c r="M38" s="39">
        <v>103.5</v>
      </c>
      <c r="N38" s="40">
        <v>0.14441428571428555</v>
      </c>
      <c r="O38" s="82">
        <v>4650</v>
      </c>
      <c r="P38" s="41">
        <v>0.81669999999999998</v>
      </c>
      <c r="Q38" s="41">
        <v>0.23400000000000001</v>
      </c>
      <c r="R38" s="42" t="s">
        <v>26</v>
      </c>
      <c r="S38" s="43"/>
      <c r="T38" s="44"/>
      <c r="U38" s="45" t="str">
        <f t="shared" si="0"/>
        <v>信邦八</v>
      </c>
      <c r="V38" s="46">
        <v>3.0000000000000001E-3</v>
      </c>
    </row>
    <row r="39" spans="1:22" s="6" customFormat="1" ht="17.25" customHeight="1" x14ac:dyDescent="0.4">
      <c r="A39" s="31" t="s">
        <v>105</v>
      </c>
      <c r="B39" s="32">
        <v>30454</v>
      </c>
      <c r="C39" s="32" t="s">
        <v>61</v>
      </c>
      <c r="D39" s="33" t="s">
        <v>106</v>
      </c>
      <c r="E39" s="80">
        <v>6.1500000000000006E-2</v>
      </c>
      <c r="F39" s="81">
        <v>2.3E-2</v>
      </c>
      <c r="G39" s="34">
        <v>46793</v>
      </c>
      <c r="H39" s="34">
        <v>46807</v>
      </c>
      <c r="I39" s="35">
        <v>2.5397260273972604</v>
      </c>
      <c r="J39" s="36">
        <v>100</v>
      </c>
      <c r="K39" s="37">
        <v>118.2</v>
      </c>
      <c r="L39" s="38">
        <v>0.90947546531302881</v>
      </c>
      <c r="M39" s="39">
        <v>99.25</v>
      </c>
      <c r="N39" s="40">
        <v>9.1288372093023262E-2</v>
      </c>
      <c r="O39" s="82">
        <v>5400.0000000000009</v>
      </c>
      <c r="P39" s="41">
        <v>1</v>
      </c>
      <c r="Q39" s="41">
        <v>0.13900000000000001</v>
      </c>
      <c r="R39" s="42" t="s">
        <v>26</v>
      </c>
      <c r="S39" s="43"/>
      <c r="T39" s="44"/>
      <c r="U39" s="45" t="str">
        <f t="shared" si="0"/>
        <v>台灣大四</v>
      </c>
      <c r="V39" s="46">
        <v>3.0000000000000001E-3</v>
      </c>
    </row>
    <row r="40" spans="1:22" s="6" customFormat="1" ht="17.25" customHeight="1" x14ac:dyDescent="0.4">
      <c r="A40" s="31" t="s">
        <v>107</v>
      </c>
      <c r="B40" s="32">
        <v>30455</v>
      </c>
      <c r="C40" s="32" t="s">
        <v>61</v>
      </c>
      <c r="D40" s="33" t="s">
        <v>106</v>
      </c>
      <c r="E40" s="80">
        <v>6.1500000000000006E-2</v>
      </c>
      <c r="F40" s="81">
        <v>2.3E-2</v>
      </c>
      <c r="G40" s="34">
        <v>46794</v>
      </c>
      <c r="H40" s="34">
        <v>46808</v>
      </c>
      <c r="I40" s="35">
        <v>2.5424657534246577</v>
      </c>
      <c r="J40" s="36">
        <v>100</v>
      </c>
      <c r="K40" s="37">
        <v>111.3</v>
      </c>
      <c r="L40" s="38">
        <v>0.96585804132973951</v>
      </c>
      <c r="M40" s="39">
        <v>102</v>
      </c>
      <c r="N40" s="40">
        <v>5.6055813953488333E-2</v>
      </c>
      <c r="O40" s="82">
        <v>8150</v>
      </c>
      <c r="P40" s="41">
        <v>1</v>
      </c>
      <c r="Q40" s="41">
        <v>0.13900000000000001</v>
      </c>
      <c r="R40" s="42" t="s">
        <v>26</v>
      </c>
      <c r="S40" s="43"/>
      <c r="T40" s="44"/>
      <c r="U40" s="45" t="str">
        <f t="shared" ref="U40:U71" si="1">A40</f>
        <v>台灣大五</v>
      </c>
      <c r="V40" s="46">
        <v>3.0000000000000001E-3</v>
      </c>
    </row>
    <row r="41" spans="1:22" s="6" customFormat="1" ht="17.25" customHeight="1" x14ac:dyDescent="0.4">
      <c r="A41" s="31" t="s">
        <v>108</v>
      </c>
      <c r="B41" s="32">
        <v>30882</v>
      </c>
      <c r="C41" s="32" t="s">
        <v>61</v>
      </c>
      <c r="D41" s="33" t="s">
        <v>80</v>
      </c>
      <c r="E41" s="80">
        <v>3.4400000000000007E-2</v>
      </c>
      <c r="F41" s="81">
        <v>0.03</v>
      </c>
      <c r="G41" s="34">
        <v>46248</v>
      </c>
      <c r="H41" s="34">
        <v>46262</v>
      </c>
      <c r="I41" s="35">
        <v>1.0465753424657533</v>
      </c>
      <c r="J41" s="36">
        <v>100</v>
      </c>
      <c r="K41" s="37">
        <v>93</v>
      </c>
      <c r="L41" s="38">
        <v>0.86666666666666659</v>
      </c>
      <c r="M41" s="39">
        <v>109.45</v>
      </c>
      <c r="N41" s="40">
        <v>0.26288461538461555</v>
      </c>
      <c r="O41" s="82">
        <v>12890.000000000004</v>
      </c>
      <c r="P41" s="41">
        <v>0.46074999999999999</v>
      </c>
      <c r="Q41" s="41">
        <v>0.26400000000000001</v>
      </c>
      <c r="R41" s="42" t="s">
        <v>27</v>
      </c>
      <c r="S41" s="43"/>
      <c r="T41" s="44"/>
      <c r="U41" s="45" t="str">
        <f t="shared" si="1"/>
        <v>艾訊二</v>
      </c>
      <c r="V41" s="46">
        <v>3.0000000000000001E-3</v>
      </c>
    </row>
    <row r="42" spans="1:22" s="6" customFormat="1" ht="17.25" customHeight="1" x14ac:dyDescent="0.4">
      <c r="A42" s="31" t="s">
        <v>109</v>
      </c>
      <c r="B42" s="32">
        <v>30954</v>
      </c>
      <c r="C42" s="32" t="s">
        <v>110</v>
      </c>
      <c r="D42" s="33" t="s">
        <v>111</v>
      </c>
      <c r="E42" s="80">
        <v>4.0100000000000004E-2</v>
      </c>
      <c r="F42" s="81">
        <v>2.4E-2</v>
      </c>
      <c r="G42" s="34">
        <v>46429</v>
      </c>
      <c r="H42" s="34">
        <v>46443</v>
      </c>
      <c r="I42" s="35">
        <v>1.5424657534246575</v>
      </c>
      <c r="J42" s="36">
        <v>100</v>
      </c>
      <c r="K42" s="37">
        <v>41.1</v>
      </c>
      <c r="L42" s="38">
        <v>0.67639902676399022</v>
      </c>
      <c r="M42" s="39">
        <v>108.9</v>
      </c>
      <c r="N42" s="40">
        <v>0.60999640287769819</v>
      </c>
      <c r="O42" s="82">
        <v>12910.000000000005</v>
      </c>
      <c r="P42" s="41">
        <v>1</v>
      </c>
      <c r="Q42" s="41">
        <v>0.27</v>
      </c>
      <c r="R42" s="42" t="s">
        <v>26</v>
      </c>
      <c r="S42" s="43"/>
      <c r="T42" s="44"/>
      <c r="U42" s="45" t="str">
        <f t="shared" si="1"/>
        <v>及成四</v>
      </c>
      <c r="V42" s="46">
        <v>3.0000000000000001E-3</v>
      </c>
    </row>
    <row r="43" spans="1:22" s="6" customFormat="1" ht="17.25" customHeight="1" x14ac:dyDescent="0.4">
      <c r="A43" s="31" t="s">
        <v>112</v>
      </c>
      <c r="B43" s="32">
        <v>31311</v>
      </c>
      <c r="C43" s="32" t="s">
        <v>61</v>
      </c>
      <c r="D43" s="33" t="s">
        <v>80</v>
      </c>
      <c r="E43" s="80">
        <v>9.2100000000000001E-2</v>
      </c>
      <c r="F43" s="81">
        <v>0.03</v>
      </c>
      <c r="G43" s="34">
        <v>46951</v>
      </c>
      <c r="H43" s="34">
        <v>46964</v>
      </c>
      <c r="I43" s="35">
        <v>2.9698630136986299</v>
      </c>
      <c r="J43" s="36">
        <v>100</v>
      </c>
      <c r="K43" s="37">
        <v>1762.2</v>
      </c>
      <c r="L43" s="38">
        <v>0.81432300533424129</v>
      </c>
      <c r="M43" s="39">
        <v>112.7</v>
      </c>
      <c r="N43" s="40">
        <v>0.38397170731707325</v>
      </c>
      <c r="O43" s="82">
        <v>21910</v>
      </c>
      <c r="P43" s="41">
        <v>1</v>
      </c>
      <c r="Q43" s="41">
        <v>0.34399999999999997</v>
      </c>
      <c r="R43" s="42" t="s">
        <v>27</v>
      </c>
      <c r="S43" s="43"/>
      <c r="T43" s="47"/>
      <c r="U43" s="45" t="str">
        <f t="shared" si="1"/>
        <v>弘塑一</v>
      </c>
      <c r="V43" s="46">
        <v>3.0000000000000001E-3</v>
      </c>
    </row>
    <row r="44" spans="1:22" s="6" customFormat="1" ht="17.25" customHeight="1" x14ac:dyDescent="0.4">
      <c r="A44" s="31" t="s">
        <v>113</v>
      </c>
      <c r="B44" s="32">
        <v>32571</v>
      </c>
      <c r="C44" s="32" t="s">
        <v>61</v>
      </c>
      <c r="D44" s="33" t="s">
        <v>74</v>
      </c>
      <c r="E44" s="80">
        <v>7.6999999999999999E-2</v>
      </c>
      <c r="F44" s="81">
        <v>0.04</v>
      </c>
      <c r="G44" s="34">
        <v>46678</v>
      </c>
      <c r="H44" s="34">
        <v>46692</v>
      </c>
      <c r="I44" s="35">
        <v>2.2246575342465755</v>
      </c>
      <c r="J44" s="36">
        <v>101.50749999999999</v>
      </c>
      <c r="K44" s="37">
        <v>72.2</v>
      </c>
      <c r="L44" s="38">
        <v>0.81163434903047094</v>
      </c>
      <c r="M44" s="39">
        <v>102.45</v>
      </c>
      <c r="N44" s="40">
        <v>0.26226791808873728</v>
      </c>
      <c r="O44" s="82">
        <v>10150.000000000004</v>
      </c>
      <c r="P44" s="41">
        <v>1</v>
      </c>
      <c r="Q44" s="41">
        <v>0.25700000000000001</v>
      </c>
      <c r="R44" s="42" t="s">
        <v>27</v>
      </c>
      <c r="S44" s="43"/>
      <c r="T44" s="47"/>
      <c r="U44" s="45" t="str">
        <f t="shared" si="1"/>
        <v>虹冠電一</v>
      </c>
      <c r="V44" s="46">
        <v>3.0000000000000001E-3</v>
      </c>
    </row>
    <row r="45" spans="1:22" s="6" customFormat="1" ht="17.149999999999999" customHeight="1" x14ac:dyDescent="0.4">
      <c r="A45" s="31" t="s">
        <v>114</v>
      </c>
      <c r="B45" s="32">
        <v>33055</v>
      </c>
      <c r="C45" s="32" t="s">
        <v>61</v>
      </c>
      <c r="D45" s="33" t="s">
        <v>74</v>
      </c>
      <c r="E45" s="80">
        <v>7.9000000000000008E-3</v>
      </c>
      <c r="F45" s="81">
        <v>0.04</v>
      </c>
      <c r="G45" s="34">
        <v>46002</v>
      </c>
      <c r="H45" s="34">
        <v>46016</v>
      </c>
      <c r="I45" s="35">
        <v>0.37260273972602742</v>
      </c>
      <c r="J45" s="36">
        <v>101.0025</v>
      </c>
      <c r="K45" s="37">
        <v>73.3</v>
      </c>
      <c r="L45" s="38">
        <v>1.0409276944065484</v>
      </c>
      <c r="M45" s="39">
        <v>119</v>
      </c>
      <c r="N45" s="40">
        <v>0.14321100917431187</v>
      </c>
      <c r="O45" s="82">
        <v>19790</v>
      </c>
      <c r="P45" s="41">
        <v>1</v>
      </c>
      <c r="Q45" s="41">
        <v>0.621</v>
      </c>
      <c r="R45" s="42" t="s">
        <v>27</v>
      </c>
      <c r="S45" s="43"/>
      <c r="T45" s="47"/>
      <c r="U45" s="45" t="str">
        <f t="shared" si="1"/>
        <v>昇貿五</v>
      </c>
      <c r="V45" s="46">
        <v>3.0000000000000001E-3</v>
      </c>
    </row>
    <row r="46" spans="1:22" s="6" customFormat="1" ht="17.149999999999999" customHeight="1" x14ac:dyDescent="0.4">
      <c r="A46" s="31" t="s">
        <v>115</v>
      </c>
      <c r="B46" s="32">
        <v>33133</v>
      </c>
      <c r="C46" s="32" t="s">
        <v>97</v>
      </c>
      <c r="D46" s="33" t="s">
        <v>71</v>
      </c>
      <c r="E46" s="80">
        <v>5.6000000000000008E-2</v>
      </c>
      <c r="F46" s="81">
        <v>2.3E-2</v>
      </c>
      <c r="G46" s="34">
        <v>46706</v>
      </c>
      <c r="H46" s="34">
        <v>46720</v>
      </c>
      <c r="I46" s="35">
        <v>2.3013698630136985</v>
      </c>
      <c r="J46" s="36">
        <v>100</v>
      </c>
      <c r="K46" s="37">
        <v>15.7</v>
      </c>
      <c r="L46" s="38">
        <v>0.83757961783439494</v>
      </c>
      <c r="M46" s="39">
        <v>105</v>
      </c>
      <c r="N46" s="40">
        <v>0.25361216730038011</v>
      </c>
      <c r="O46" s="82">
        <v>10600.000000000002</v>
      </c>
      <c r="P46" s="41">
        <v>1</v>
      </c>
      <c r="Q46" s="41">
        <v>0.14899999999999999</v>
      </c>
      <c r="R46" s="42" t="s">
        <v>26</v>
      </c>
      <c r="S46" s="43"/>
      <c r="T46" s="47"/>
      <c r="U46" s="45" t="str">
        <f t="shared" si="1"/>
        <v>斐成三</v>
      </c>
      <c r="V46" s="46">
        <v>3.0000000000000001E-3</v>
      </c>
    </row>
    <row r="47" spans="1:22" s="6" customFormat="1" ht="17.149999999999999" customHeight="1" x14ac:dyDescent="0.4">
      <c r="A47" s="31" t="s">
        <v>116</v>
      </c>
      <c r="B47" s="32">
        <v>33245</v>
      </c>
      <c r="C47" s="32" t="s">
        <v>61</v>
      </c>
      <c r="D47" s="33" t="s">
        <v>62</v>
      </c>
      <c r="E47" s="80">
        <v>3.7200000000000004E-2</v>
      </c>
      <c r="F47" s="81">
        <v>2.5000000000000001E-2</v>
      </c>
      <c r="G47" s="34">
        <v>46587</v>
      </c>
      <c r="H47" s="34">
        <v>46599</v>
      </c>
      <c r="I47" s="35">
        <v>1.9698630136986301</v>
      </c>
      <c r="J47" s="36">
        <v>101.50749999999999</v>
      </c>
      <c r="K47" s="37">
        <v>734.4</v>
      </c>
      <c r="L47" s="38">
        <v>1.0117102396514162</v>
      </c>
      <c r="M47" s="39">
        <v>130.4</v>
      </c>
      <c r="N47" s="40">
        <v>0.28890659488559894</v>
      </c>
      <c r="O47" s="82">
        <v>34120.000000000007</v>
      </c>
      <c r="P47" s="41">
        <v>1</v>
      </c>
      <c r="Q47" s="41">
        <v>0.432</v>
      </c>
      <c r="R47" s="42" t="s">
        <v>26</v>
      </c>
      <c r="S47" s="43"/>
      <c r="T47" s="47"/>
      <c r="U47" s="45" t="str">
        <f t="shared" si="1"/>
        <v>雙鴻五</v>
      </c>
      <c r="V47" s="46">
        <v>3.0000000000000001E-3</v>
      </c>
    </row>
    <row r="48" spans="1:22" s="6" customFormat="1" ht="17.149999999999999" customHeight="1" x14ac:dyDescent="0.4">
      <c r="A48" s="31" t="s">
        <v>117</v>
      </c>
      <c r="B48" s="32">
        <v>33571</v>
      </c>
      <c r="C48" s="32" t="s">
        <v>61</v>
      </c>
      <c r="D48" s="33" t="s">
        <v>62</v>
      </c>
      <c r="E48" s="80">
        <v>3.6000000000000004E-2</v>
      </c>
      <c r="F48" s="81">
        <v>2.7E-2</v>
      </c>
      <c r="G48" s="34">
        <v>46314</v>
      </c>
      <c r="H48" s="34">
        <v>46326</v>
      </c>
      <c r="I48" s="35">
        <v>1.2219178082191782</v>
      </c>
      <c r="J48" s="36">
        <v>100</v>
      </c>
      <c r="K48" s="37">
        <v>108.9</v>
      </c>
      <c r="L48" s="38">
        <v>0.95959595959595956</v>
      </c>
      <c r="M48" s="39">
        <v>112.5</v>
      </c>
      <c r="N48" s="40">
        <v>0.17236842105263159</v>
      </c>
      <c r="O48" s="82">
        <v>16100</v>
      </c>
      <c r="P48" s="41">
        <v>0.99990909090909086</v>
      </c>
      <c r="Q48" s="41">
        <v>0.24</v>
      </c>
      <c r="R48" s="42" t="s">
        <v>26</v>
      </c>
      <c r="S48" s="43"/>
      <c r="T48" s="47"/>
      <c r="U48" s="45" t="str">
        <f t="shared" si="1"/>
        <v>臺慶科一</v>
      </c>
      <c r="V48" s="46">
        <v>3.0000000000000001E-3</v>
      </c>
    </row>
    <row r="49" spans="1:22" s="6" customFormat="1" ht="17.25" customHeight="1" x14ac:dyDescent="0.4">
      <c r="A49" s="31" t="s">
        <v>118</v>
      </c>
      <c r="B49" s="32">
        <v>33621</v>
      </c>
      <c r="C49" s="32" t="s">
        <v>119</v>
      </c>
      <c r="D49" s="33" t="s">
        <v>74</v>
      </c>
      <c r="E49" s="80">
        <v>3.9900000000000005E-2</v>
      </c>
      <c r="F49" s="81">
        <v>2.3E-2</v>
      </c>
      <c r="G49" s="34">
        <v>46570</v>
      </c>
      <c r="H49" s="34">
        <v>46584</v>
      </c>
      <c r="I49" s="35">
        <v>1.9287671232876713</v>
      </c>
      <c r="J49" s="36">
        <v>100.75</v>
      </c>
      <c r="K49" s="37">
        <v>251</v>
      </c>
      <c r="L49" s="38">
        <v>0.47211155378486053</v>
      </c>
      <c r="M49" s="39">
        <v>103.7</v>
      </c>
      <c r="N49" s="40">
        <v>1.1965147679324895</v>
      </c>
      <c r="O49" s="82">
        <v>7690.0000000000027</v>
      </c>
      <c r="P49" s="41">
        <v>0.99991666666666668</v>
      </c>
      <c r="Q49" s="41">
        <v>0.308</v>
      </c>
      <c r="R49" s="42" t="s">
        <v>26</v>
      </c>
      <c r="S49" s="43"/>
      <c r="T49" s="47"/>
      <c r="U49" s="45" t="str">
        <f t="shared" si="1"/>
        <v>先進光一</v>
      </c>
      <c r="V49" s="46">
        <v>3.0000000000000001E-3</v>
      </c>
    </row>
    <row r="50" spans="1:22" s="6" customFormat="1" ht="17.25" customHeight="1" x14ac:dyDescent="0.4">
      <c r="A50" s="31" t="s">
        <v>32</v>
      </c>
      <c r="B50" s="32">
        <v>33763</v>
      </c>
      <c r="C50" s="32" t="s">
        <v>61</v>
      </c>
      <c r="D50" s="33" t="s">
        <v>62</v>
      </c>
      <c r="E50" s="80">
        <v>3.8800000000000008E-2</v>
      </c>
      <c r="F50" s="81">
        <v>2.5000000000000001E-2</v>
      </c>
      <c r="G50" s="34">
        <v>46608</v>
      </c>
      <c r="H50" s="34">
        <v>46622</v>
      </c>
      <c r="I50" s="35">
        <v>2.032876712328767</v>
      </c>
      <c r="J50" s="36">
        <v>101.51</v>
      </c>
      <c r="K50" s="37">
        <v>200.3</v>
      </c>
      <c r="L50" s="38">
        <v>1.1657513729405891</v>
      </c>
      <c r="M50" s="39">
        <v>134.85</v>
      </c>
      <c r="N50" s="40">
        <v>0.15676466809421843</v>
      </c>
      <c r="O50" s="82">
        <v>38729.999999999993</v>
      </c>
      <c r="P50" s="41">
        <v>1</v>
      </c>
      <c r="Q50" s="41">
        <v>0.49</v>
      </c>
      <c r="R50" s="42" t="s">
        <v>26</v>
      </c>
      <c r="S50" s="43"/>
      <c r="T50" s="47"/>
      <c r="U50" s="45" t="str">
        <f t="shared" si="1"/>
        <v>新日興三</v>
      </c>
      <c r="V50" s="46">
        <v>3.0000000000000001E-3</v>
      </c>
    </row>
    <row r="51" spans="1:22" s="6" customFormat="1" ht="17.25" customHeight="1" x14ac:dyDescent="0.4">
      <c r="A51" s="31" t="s">
        <v>120</v>
      </c>
      <c r="B51" s="32">
        <v>33881</v>
      </c>
      <c r="C51" s="32" t="s">
        <v>61</v>
      </c>
      <c r="D51" s="33" t="s">
        <v>62</v>
      </c>
      <c r="E51" s="80">
        <v>0.01</v>
      </c>
      <c r="F51" s="81">
        <v>2.8000000000000001E-2</v>
      </c>
      <c r="G51" s="34">
        <v>45957</v>
      </c>
      <c r="H51" s="34">
        <v>45970</v>
      </c>
      <c r="I51" s="35">
        <v>0.24657534246575341</v>
      </c>
      <c r="J51" s="36">
        <v>100</v>
      </c>
      <c r="K51" s="37">
        <v>62.8</v>
      </c>
      <c r="L51" s="38">
        <v>0.9920382165605095</v>
      </c>
      <c r="M51" s="39">
        <v>103</v>
      </c>
      <c r="N51" s="40">
        <v>3.8266452648475197E-2</v>
      </c>
      <c r="O51" s="82">
        <v>4000</v>
      </c>
      <c r="P51" s="41">
        <v>0.99985714285714289</v>
      </c>
      <c r="Q51" s="41">
        <v>9.7000000000000003E-2</v>
      </c>
      <c r="R51" s="42" t="s">
        <v>26</v>
      </c>
      <c r="S51" s="43"/>
      <c r="T51" s="47"/>
      <c r="U51" s="45" t="str">
        <f t="shared" si="1"/>
        <v>崇越電一</v>
      </c>
      <c r="V51" s="46">
        <v>3.0000000000000001E-3</v>
      </c>
    </row>
    <row r="52" spans="1:22" s="6" customFormat="1" ht="17.25" customHeight="1" x14ac:dyDescent="0.4">
      <c r="A52" s="31" t="s">
        <v>121</v>
      </c>
      <c r="B52" s="32">
        <v>33902</v>
      </c>
      <c r="C52" s="32" t="s">
        <v>122</v>
      </c>
      <c r="D52" s="33" t="s">
        <v>71</v>
      </c>
      <c r="E52" s="80">
        <v>6.1300000000000007E-2</v>
      </c>
      <c r="F52" s="81">
        <v>2.3E-2</v>
      </c>
      <c r="G52" s="34">
        <v>46790</v>
      </c>
      <c r="H52" s="34">
        <v>46804</v>
      </c>
      <c r="I52" s="35">
        <v>2.5315068493150683</v>
      </c>
      <c r="J52" s="36">
        <v>100</v>
      </c>
      <c r="K52" s="37">
        <v>25.5</v>
      </c>
      <c r="L52" s="38">
        <v>0.79215686274509811</v>
      </c>
      <c r="M52" s="39">
        <v>107.55</v>
      </c>
      <c r="N52" s="40">
        <v>0.35768564356435634</v>
      </c>
      <c r="O52" s="82">
        <v>13679.999999999998</v>
      </c>
      <c r="P52" s="41">
        <v>1</v>
      </c>
      <c r="Q52" s="41">
        <v>0.127</v>
      </c>
      <c r="R52" s="42" t="s">
        <v>26</v>
      </c>
      <c r="S52" s="43"/>
      <c r="T52" s="47"/>
      <c r="U52" s="45" t="str">
        <f t="shared" si="1"/>
        <v>旭軟二</v>
      </c>
      <c r="V52" s="46">
        <v>3.0000000000000001E-3</v>
      </c>
    </row>
    <row r="53" spans="1:22" s="6" customFormat="1" ht="17.25" customHeight="1" x14ac:dyDescent="0.4">
      <c r="A53" s="31" t="s">
        <v>123</v>
      </c>
      <c r="B53" s="32">
        <v>34163</v>
      </c>
      <c r="C53" s="32" t="s">
        <v>61</v>
      </c>
      <c r="D53" s="33" t="s">
        <v>80</v>
      </c>
      <c r="E53" s="80">
        <v>1.06E-2</v>
      </c>
      <c r="F53" s="81">
        <v>2.75E-2</v>
      </c>
      <c r="G53" s="34">
        <v>46034</v>
      </c>
      <c r="H53" s="34">
        <v>46047</v>
      </c>
      <c r="I53" s="35">
        <v>0.45753424657534247</v>
      </c>
      <c r="J53" s="36">
        <v>100.5</v>
      </c>
      <c r="K53" s="37">
        <v>127.1</v>
      </c>
      <c r="L53" s="38">
        <v>1.2706530291109364</v>
      </c>
      <c r="M53" s="39">
        <v>134</v>
      </c>
      <c r="N53" s="40">
        <v>5.4575851393188761E-2</v>
      </c>
      <c r="O53" s="82">
        <v>35060</v>
      </c>
      <c r="P53" s="41">
        <v>1</v>
      </c>
      <c r="Q53" s="41">
        <v>0.38200000000000001</v>
      </c>
      <c r="R53" s="42" t="s">
        <v>27</v>
      </c>
      <c r="S53" s="43"/>
      <c r="T53" s="47"/>
      <c r="U53" s="45" t="str">
        <f t="shared" si="1"/>
        <v>融程電三</v>
      </c>
      <c r="V53" s="46">
        <v>3.0000000000000001E-3</v>
      </c>
    </row>
    <row r="54" spans="1:22" s="6" customFormat="1" ht="17.25" customHeight="1" x14ac:dyDescent="0.4">
      <c r="A54" s="31" t="s">
        <v>124</v>
      </c>
      <c r="B54" s="32">
        <v>34912</v>
      </c>
      <c r="C54" s="32" t="s">
        <v>61</v>
      </c>
      <c r="D54" s="33" t="s">
        <v>80</v>
      </c>
      <c r="E54" s="80">
        <v>6.4399999999999999E-2</v>
      </c>
      <c r="F54" s="81">
        <v>0.03</v>
      </c>
      <c r="G54" s="34">
        <v>46615</v>
      </c>
      <c r="H54" s="34">
        <v>46627</v>
      </c>
      <c r="I54" s="35">
        <v>2.0465753424657533</v>
      </c>
      <c r="J54" s="36">
        <v>100</v>
      </c>
      <c r="K54" s="37">
        <v>299.60000000000002</v>
      </c>
      <c r="L54" s="38">
        <v>1.1431909212283042</v>
      </c>
      <c r="M54" s="39">
        <v>125</v>
      </c>
      <c r="N54" s="40">
        <v>9.3430656934306702E-2</v>
      </c>
      <c r="O54" s="82">
        <v>31440</v>
      </c>
      <c r="P54" s="41">
        <v>0.66049999999999998</v>
      </c>
      <c r="Q54" s="41">
        <v>0.40300000000000002</v>
      </c>
      <c r="R54" s="42" t="s">
        <v>27</v>
      </c>
      <c r="S54" s="43"/>
      <c r="T54" s="47"/>
      <c r="U54" s="45" t="str">
        <f t="shared" si="1"/>
        <v>昇達科二</v>
      </c>
      <c r="V54" s="46">
        <v>3.0000000000000001E-3</v>
      </c>
    </row>
    <row r="55" spans="1:22" s="6" customFormat="1" ht="17.25" customHeight="1" x14ac:dyDescent="0.4">
      <c r="A55" s="31" t="s">
        <v>125</v>
      </c>
      <c r="B55" s="32">
        <v>35161</v>
      </c>
      <c r="C55" s="32" t="s">
        <v>126</v>
      </c>
      <c r="D55" s="33" t="s">
        <v>71</v>
      </c>
      <c r="E55" s="80">
        <v>5.3300000000000007E-2</v>
      </c>
      <c r="F55" s="81">
        <v>2.3E-2</v>
      </c>
      <c r="G55" s="34">
        <v>46664</v>
      </c>
      <c r="H55" s="34">
        <v>46678</v>
      </c>
      <c r="I55" s="35">
        <v>2.1863013698630138</v>
      </c>
      <c r="J55" s="36">
        <v>100</v>
      </c>
      <c r="K55" s="37">
        <v>26.14</v>
      </c>
      <c r="L55" s="38">
        <v>0.78997704667176738</v>
      </c>
      <c r="M55" s="39">
        <v>108.25</v>
      </c>
      <c r="N55" s="40">
        <v>0.37029297820823254</v>
      </c>
      <c r="O55" s="82">
        <v>13580</v>
      </c>
      <c r="P55" s="41">
        <v>1</v>
      </c>
      <c r="Q55" s="41">
        <v>0.155</v>
      </c>
      <c r="R55" s="42" t="s">
        <v>26</v>
      </c>
      <c r="S55" s="43"/>
      <c r="T55" s="47"/>
      <c r="U55" s="45" t="str">
        <f t="shared" si="1"/>
        <v>亞帝歐一</v>
      </c>
      <c r="V55" s="46">
        <v>3.0000000000000001E-3</v>
      </c>
    </row>
    <row r="56" spans="1:22" s="6" customFormat="1" ht="17.25" customHeight="1" x14ac:dyDescent="0.4">
      <c r="A56" s="31" t="s">
        <v>127</v>
      </c>
      <c r="B56" s="32">
        <v>35181</v>
      </c>
      <c r="C56" s="32" t="s">
        <v>128</v>
      </c>
      <c r="D56" s="33" t="s">
        <v>65</v>
      </c>
      <c r="E56" s="80">
        <v>4.9300000000000004E-2</v>
      </c>
      <c r="F56" s="81">
        <v>2.3E-2</v>
      </c>
      <c r="G56" s="34">
        <v>46601</v>
      </c>
      <c r="H56" s="34">
        <v>46614</v>
      </c>
      <c r="I56" s="35">
        <v>2.010958904109589</v>
      </c>
      <c r="J56" s="36">
        <v>100</v>
      </c>
      <c r="K56" s="37">
        <v>35</v>
      </c>
      <c r="L56" s="38">
        <v>0.55285714285714294</v>
      </c>
      <c r="M56" s="39">
        <v>102.3</v>
      </c>
      <c r="N56" s="40">
        <v>0.8503875968992245</v>
      </c>
      <c r="O56" s="82">
        <v>7229.9999999999973</v>
      </c>
      <c r="P56" s="41">
        <v>1</v>
      </c>
      <c r="Q56" s="41">
        <v>0.16600000000000001</v>
      </c>
      <c r="R56" s="42" t="s">
        <v>26</v>
      </c>
      <c r="S56" s="43"/>
      <c r="T56" s="47"/>
      <c r="U56" s="45" t="str">
        <f t="shared" si="1"/>
        <v>柏騰一</v>
      </c>
      <c r="V56" s="46">
        <v>3.0000000000000001E-3</v>
      </c>
    </row>
    <row r="57" spans="1:22" s="6" customFormat="1" ht="17.25" customHeight="1" x14ac:dyDescent="0.4">
      <c r="A57" s="31" t="s">
        <v>129</v>
      </c>
      <c r="B57" s="32">
        <v>35221</v>
      </c>
      <c r="C57" s="32" t="s">
        <v>130</v>
      </c>
      <c r="D57" s="33" t="s">
        <v>111</v>
      </c>
      <c r="E57" s="80">
        <v>7.000000000000001E-4</v>
      </c>
      <c r="F57" s="81">
        <v>2.1999999999999999E-2</v>
      </c>
      <c r="G57" s="34">
        <v>45995</v>
      </c>
      <c r="H57" s="34">
        <v>46009</v>
      </c>
      <c r="I57" s="35">
        <v>0.35342465753424657</v>
      </c>
      <c r="J57" s="36">
        <v>101.0025</v>
      </c>
      <c r="K57" s="37">
        <v>18.600000000000001</v>
      </c>
      <c r="L57" s="38">
        <v>0.73118279569892464</v>
      </c>
      <c r="M57" s="39">
        <v>102.3</v>
      </c>
      <c r="N57" s="40">
        <v>0.39910294117647072</v>
      </c>
      <c r="O57" s="82">
        <v>2369.9999999999973</v>
      </c>
      <c r="P57" s="41">
        <v>0.82066666666666666</v>
      </c>
      <c r="Q57" s="41">
        <v>0.13300000000000001</v>
      </c>
      <c r="R57" s="42" t="s">
        <v>26</v>
      </c>
      <c r="S57" s="43"/>
      <c r="T57" s="47"/>
      <c r="U57" s="45" t="str">
        <f t="shared" si="1"/>
        <v>御嵿一</v>
      </c>
      <c r="V57" s="46">
        <v>3.0000000000000001E-3</v>
      </c>
    </row>
    <row r="58" spans="1:22" s="6" customFormat="1" ht="17.25" customHeight="1" x14ac:dyDescent="0.4">
      <c r="A58" s="31" t="s">
        <v>131</v>
      </c>
      <c r="B58" s="32">
        <v>35267</v>
      </c>
      <c r="C58" s="32" t="s">
        <v>61</v>
      </c>
      <c r="D58" s="33" t="s">
        <v>80</v>
      </c>
      <c r="E58" s="80">
        <v>9.1700000000000004E-2</v>
      </c>
      <c r="F58" s="81">
        <v>0.03</v>
      </c>
      <c r="G58" s="34">
        <v>46944</v>
      </c>
      <c r="H58" s="34">
        <v>46958</v>
      </c>
      <c r="I58" s="35">
        <v>2.9534246575342467</v>
      </c>
      <c r="J58" s="36">
        <v>100</v>
      </c>
      <c r="K58" s="37">
        <v>269.60000000000002</v>
      </c>
      <c r="L58" s="38">
        <v>0.95140949554896137</v>
      </c>
      <c r="M58" s="39">
        <v>114.25</v>
      </c>
      <c r="N58" s="40">
        <v>0.20084990253411311</v>
      </c>
      <c r="O58" s="82">
        <v>23420</v>
      </c>
      <c r="P58" s="41">
        <v>1</v>
      </c>
      <c r="Q58" s="41">
        <v>0.33</v>
      </c>
      <c r="R58" s="42" t="s">
        <v>27</v>
      </c>
      <c r="S58" s="43"/>
      <c r="T58" s="47"/>
      <c r="U58" s="45" t="str">
        <f t="shared" si="1"/>
        <v>凡甲七</v>
      </c>
      <c r="V58" s="46">
        <v>3.0000000000000001E-3</v>
      </c>
    </row>
    <row r="59" spans="1:22" s="6" customFormat="1" ht="17.25" customHeight="1" x14ac:dyDescent="0.4">
      <c r="A59" s="31" t="s">
        <v>132</v>
      </c>
      <c r="B59" s="32">
        <v>35482</v>
      </c>
      <c r="C59" s="32" t="s">
        <v>61</v>
      </c>
      <c r="D59" s="33" t="s">
        <v>62</v>
      </c>
      <c r="E59" s="80">
        <v>4.2600000000000006E-2</v>
      </c>
      <c r="F59" s="81">
        <v>2.8000000000000001E-2</v>
      </c>
      <c r="G59" s="34">
        <v>46381</v>
      </c>
      <c r="H59" s="34">
        <v>46395</v>
      </c>
      <c r="I59" s="35">
        <v>1.4109589041095891</v>
      </c>
      <c r="J59" s="36">
        <v>100</v>
      </c>
      <c r="K59" s="37">
        <v>194.2</v>
      </c>
      <c r="L59" s="38">
        <v>0.57672502574665296</v>
      </c>
      <c r="M59" s="39">
        <v>100</v>
      </c>
      <c r="N59" s="40">
        <v>0.73392857142857137</v>
      </c>
      <c r="O59" s="82">
        <v>4260.0000000000009</v>
      </c>
      <c r="P59" s="41">
        <v>0.99987499999999996</v>
      </c>
      <c r="Q59" s="41">
        <v>0.26700000000000002</v>
      </c>
      <c r="R59" s="42" t="s">
        <v>27</v>
      </c>
      <c r="S59" s="43"/>
      <c r="T59" s="47"/>
      <c r="U59" s="45" t="str">
        <f t="shared" si="1"/>
        <v>兆利二</v>
      </c>
      <c r="V59" s="46">
        <v>3.0000000000000001E-3</v>
      </c>
    </row>
    <row r="60" spans="1:22" s="6" customFormat="1" ht="17.25" customHeight="1" x14ac:dyDescent="0.4">
      <c r="A60" s="31" t="s">
        <v>133</v>
      </c>
      <c r="B60" s="32">
        <v>35483</v>
      </c>
      <c r="C60" s="32" t="s">
        <v>61</v>
      </c>
      <c r="D60" s="33" t="s">
        <v>62</v>
      </c>
      <c r="E60" s="80">
        <v>6.6600000000000006E-2</v>
      </c>
      <c r="F60" s="81">
        <v>2.5000000000000001E-2</v>
      </c>
      <c r="G60" s="34">
        <v>46794</v>
      </c>
      <c r="H60" s="34">
        <v>46808</v>
      </c>
      <c r="I60" s="35">
        <v>2.5424657534246577</v>
      </c>
      <c r="J60" s="36">
        <v>100</v>
      </c>
      <c r="K60" s="37">
        <v>170</v>
      </c>
      <c r="L60" s="38">
        <v>0.65882352941176459</v>
      </c>
      <c r="M60" s="39">
        <v>101</v>
      </c>
      <c r="N60" s="40">
        <v>0.53303571428571439</v>
      </c>
      <c r="O60" s="82">
        <v>7660</v>
      </c>
      <c r="P60" s="41">
        <v>1</v>
      </c>
      <c r="Q60" s="41">
        <v>0.26700000000000002</v>
      </c>
      <c r="R60" s="42" t="s">
        <v>27</v>
      </c>
      <c r="S60" s="43"/>
      <c r="T60" s="47"/>
      <c r="U60" s="45" t="str">
        <f t="shared" si="1"/>
        <v>兆利三</v>
      </c>
      <c r="V60" s="46">
        <v>3.0000000000000001E-3</v>
      </c>
    </row>
    <row r="61" spans="1:22" s="6" customFormat="1" ht="17.25" customHeight="1" x14ac:dyDescent="0.4">
      <c r="A61" s="31" t="s">
        <v>134</v>
      </c>
      <c r="B61" s="32">
        <v>35831</v>
      </c>
      <c r="C61" s="32" t="s">
        <v>61</v>
      </c>
      <c r="D61" s="33" t="s">
        <v>62</v>
      </c>
      <c r="E61" s="80">
        <v>2.6099999999999998E-2</v>
      </c>
      <c r="F61" s="81">
        <v>2.8000000000000001E-2</v>
      </c>
      <c r="G61" s="34">
        <v>46167</v>
      </c>
      <c r="H61" s="34">
        <v>46180</v>
      </c>
      <c r="I61" s="35">
        <v>0.82191780821917804</v>
      </c>
      <c r="J61" s="36">
        <v>100</v>
      </c>
      <c r="K61" s="37">
        <v>349.3</v>
      </c>
      <c r="L61" s="38">
        <v>1.0578299456054967</v>
      </c>
      <c r="M61" s="39">
        <v>121.75</v>
      </c>
      <c r="N61" s="40">
        <v>0.15094113667117731</v>
      </c>
      <c r="O61" s="82">
        <v>24360</v>
      </c>
      <c r="P61" s="41">
        <v>1</v>
      </c>
      <c r="Q61" s="41">
        <v>0.316</v>
      </c>
      <c r="R61" s="42" t="s">
        <v>27</v>
      </c>
      <c r="S61" s="43"/>
      <c r="T61" s="47"/>
      <c r="U61" s="45" t="str">
        <f t="shared" si="1"/>
        <v>辛耘一</v>
      </c>
      <c r="V61" s="46">
        <v>3.0000000000000001E-3</v>
      </c>
    </row>
    <row r="62" spans="1:22" s="6" customFormat="1" ht="17.25" customHeight="1" x14ac:dyDescent="0.4">
      <c r="A62" s="31" t="s">
        <v>33</v>
      </c>
      <c r="B62" s="32">
        <v>35832</v>
      </c>
      <c r="C62" s="32" t="s">
        <v>61</v>
      </c>
      <c r="D62" s="33" t="s">
        <v>62</v>
      </c>
      <c r="E62" s="80">
        <v>2.7E-2</v>
      </c>
      <c r="F62" s="81">
        <v>2.8000000000000001E-2</v>
      </c>
      <c r="G62" s="34">
        <v>46178</v>
      </c>
      <c r="H62" s="34">
        <v>46192</v>
      </c>
      <c r="I62" s="35">
        <v>0.85479452054794525</v>
      </c>
      <c r="J62" s="36">
        <v>100</v>
      </c>
      <c r="K62" s="37">
        <v>337.4</v>
      </c>
      <c r="L62" s="38">
        <v>1.0951393005334915</v>
      </c>
      <c r="M62" s="39">
        <v>123.45</v>
      </c>
      <c r="N62" s="40">
        <v>0.12725385656292273</v>
      </c>
      <c r="O62" s="82">
        <v>26150.000000000007</v>
      </c>
      <c r="P62" s="41">
        <v>1</v>
      </c>
      <c r="Q62" s="41">
        <v>0.316</v>
      </c>
      <c r="R62" s="42" t="s">
        <v>27</v>
      </c>
      <c r="S62" s="43"/>
      <c r="T62" s="47"/>
      <c r="U62" s="45" t="str">
        <f t="shared" si="1"/>
        <v>辛耘二</v>
      </c>
      <c r="V62" s="46">
        <v>3.0000000000000001E-3</v>
      </c>
    </row>
    <row r="63" spans="1:22" s="6" customFormat="1" ht="17.25" customHeight="1" x14ac:dyDescent="0.4">
      <c r="A63" s="31" t="s">
        <v>135</v>
      </c>
      <c r="B63" s="32">
        <v>35871</v>
      </c>
      <c r="C63" s="32" t="s">
        <v>61</v>
      </c>
      <c r="D63" s="33" t="s">
        <v>62</v>
      </c>
      <c r="E63" s="80">
        <v>2.6199999999999998E-2</v>
      </c>
      <c r="F63" s="81">
        <v>2.7E-2</v>
      </c>
      <c r="G63" s="34">
        <v>46181</v>
      </c>
      <c r="H63" s="34">
        <v>46193</v>
      </c>
      <c r="I63" s="35">
        <v>0.8575342465753425</v>
      </c>
      <c r="J63" s="36">
        <v>100</v>
      </c>
      <c r="K63" s="37">
        <v>192</v>
      </c>
      <c r="L63" s="38">
        <v>1.0026041666666667</v>
      </c>
      <c r="M63" s="39">
        <v>125</v>
      </c>
      <c r="N63" s="40">
        <v>0.2467532467532467</v>
      </c>
      <c r="O63" s="82">
        <v>27620</v>
      </c>
      <c r="P63" s="41">
        <v>0.75116666666666665</v>
      </c>
      <c r="Q63" s="41">
        <v>0.67100000000000004</v>
      </c>
      <c r="R63" s="42" t="s">
        <v>27</v>
      </c>
      <c r="S63" s="43"/>
      <c r="T63" s="47"/>
      <c r="U63" s="45" t="str">
        <f t="shared" si="1"/>
        <v>閎康一</v>
      </c>
      <c r="V63" s="46">
        <v>3.0000000000000001E-3</v>
      </c>
    </row>
    <row r="64" spans="1:22" s="6" customFormat="1" ht="17.25" customHeight="1" x14ac:dyDescent="0.4">
      <c r="A64" s="31" t="s">
        <v>136</v>
      </c>
      <c r="B64" s="32">
        <v>36173</v>
      </c>
      <c r="C64" s="32" t="s">
        <v>61</v>
      </c>
      <c r="D64" s="33" t="s">
        <v>62</v>
      </c>
      <c r="E64" s="80">
        <v>8.2799999999999999E-2</v>
      </c>
      <c r="F64" s="81">
        <v>2.8000000000000001E-2</v>
      </c>
      <c r="G64" s="34">
        <v>46906</v>
      </c>
      <c r="H64" s="34">
        <v>46920</v>
      </c>
      <c r="I64" s="35">
        <v>2.8493150684931505</v>
      </c>
      <c r="J64" s="36">
        <v>100</v>
      </c>
      <c r="K64" s="37">
        <v>287.3</v>
      </c>
      <c r="L64" s="38">
        <v>0.78141315697876779</v>
      </c>
      <c r="M64" s="39">
        <v>104.85</v>
      </c>
      <c r="N64" s="40">
        <v>0.34179977728285083</v>
      </c>
      <c r="O64" s="82">
        <v>13129.999999999995</v>
      </c>
      <c r="P64" s="41">
        <v>1</v>
      </c>
      <c r="Q64" s="41">
        <v>0.496</v>
      </c>
      <c r="R64" s="42" t="s">
        <v>27</v>
      </c>
      <c r="S64" s="43"/>
      <c r="T64" s="47"/>
      <c r="U64" s="45" t="str">
        <f t="shared" si="1"/>
        <v>碩天三</v>
      </c>
      <c r="V64" s="46">
        <v>3.0000000000000001E-3</v>
      </c>
    </row>
    <row r="65" spans="1:22" s="6" customFormat="1" ht="17.25" customHeight="1" x14ac:dyDescent="0.4">
      <c r="A65" s="31" t="s">
        <v>137</v>
      </c>
      <c r="B65" s="32">
        <v>36534</v>
      </c>
      <c r="C65" s="32" t="s">
        <v>61</v>
      </c>
      <c r="D65" s="33" t="s">
        <v>91</v>
      </c>
      <c r="E65" s="80">
        <v>7.3400000000000007E-2</v>
      </c>
      <c r="F65" s="81">
        <v>2.5000000000000001E-2</v>
      </c>
      <c r="G65" s="34">
        <v>46895</v>
      </c>
      <c r="H65" s="34">
        <v>46907</v>
      </c>
      <c r="I65" s="35">
        <v>2.8136986301369862</v>
      </c>
      <c r="J65" s="36">
        <v>100</v>
      </c>
      <c r="K65" s="37">
        <v>1314.5</v>
      </c>
      <c r="L65" s="38">
        <v>1.1487257512362115</v>
      </c>
      <c r="M65" s="39">
        <v>126.6</v>
      </c>
      <c r="N65" s="40">
        <v>0.10209072847682116</v>
      </c>
      <c r="O65" s="82">
        <v>33940</v>
      </c>
      <c r="P65" s="41">
        <v>1</v>
      </c>
      <c r="Q65" s="41">
        <v>0.48199999999999998</v>
      </c>
      <c r="R65" s="42" t="s">
        <v>27</v>
      </c>
      <c r="S65" s="43"/>
      <c r="T65" s="47"/>
      <c r="U65" s="45" t="str">
        <f t="shared" si="1"/>
        <v>健策四</v>
      </c>
      <c r="V65" s="46">
        <v>3.0000000000000001E-3</v>
      </c>
    </row>
    <row r="66" spans="1:22" s="6" customFormat="1" ht="17.25" customHeight="1" x14ac:dyDescent="0.4">
      <c r="A66" s="31" t="s">
        <v>138</v>
      </c>
      <c r="B66" s="32">
        <v>36535</v>
      </c>
      <c r="C66" s="32" t="s">
        <v>61</v>
      </c>
      <c r="D66" s="33" t="s">
        <v>91</v>
      </c>
      <c r="E66" s="80">
        <v>7.4099999999999999E-2</v>
      </c>
      <c r="F66" s="81">
        <v>2.5000000000000001E-2</v>
      </c>
      <c r="G66" s="34">
        <v>46903</v>
      </c>
      <c r="H66" s="34">
        <v>46917</v>
      </c>
      <c r="I66" s="35">
        <v>2.8410958904109589</v>
      </c>
      <c r="J66" s="36">
        <v>100</v>
      </c>
      <c r="K66" s="37">
        <v>1308</v>
      </c>
      <c r="L66" s="38">
        <v>1.154434250764526</v>
      </c>
      <c r="M66" s="39">
        <v>126.7</v>
      </c>
      <c r="N66" s="40">
        <v>9.7507284768211952E-2</v>
      </c>
      <c r="O66" s="82">
        <v>34110</v>
      </c>
      <c r="P66" s="41">
        <v>1</v>
      </c>
      <c r="Q66" s="41">
        <v>0.48199999999999998</v>
      </c>
      <c r="R66" s="42" t="s">
        <v>27</v>
      </c>
      <c r="S66" s="43"/>
      <c r="T66" s="47"/>
      <c r="U66" s="45" t="str">
        <f t="shared" si="1"/>
        <v>健策五</v>
      </c>
      <c r="V66" s="46">
        <v>3.0000000000000001E-3</v>
      </c>
    </row>
    <row r="67" spans="1:22" s="6" customFormat="1" ht="17.25" customHeight="1" x14ac:dyDescent="0.4">
      <c r="A67" s="31" t="s">
        <v>139</v>
      </c>
      <c r="B67" s="32">
        <v>36913</v>
      </c>
      <c r="C67" s="32" t="s">
        <v>140</v>
      </c>
      <c r="D67" s="33" t="s">
        <v>71</v>
      </c>
      <c r="E67" s="80">
        <v>5.0200000000000009E-2</v>
      </c>
      <c r="F67" s="81">
        <v>2.3E-2</v>
      </c>
      <c r="G67" s="34">
        <v>46615</v>
      </c>
      <c r="H67" s="34">
        <v>46629</v>
      </c>
      <c r="I67" s="35">
        <v>2.0520547945205481</v>
      </c>
      <c r="J67" s="36">
        <v>100</v>
      </c>
      <c r="K67" s="37">
        <v>118</v>
      </c>
      <c r="L67" s="38">
        <v>0.62881355932203398</v>
      </c>
      <c r="M67" s="39">
        <v>99.3</v>
      </c>
      <c r="N67" s="40">
        <v>0.57916442048517491</v>
      </c>
      <c r="O67" s="82">
        <v>4319.9999999999982</v>
      </c>
      <c r="P67" s="41">
        <v>1</v>
      </c>
      <c r="Q67" s="41">
        <v>0.32500000000000001</v>
      </c>
      <c r="R67" s="42" t="s">
        <v>26</v>
      </c>
      <c r="S67" s="43"/>
      <c r="T67" s="47"/>
      <c r="U67" s="45" t="str">
        <f t="shared" si="1"/>
        <v>碩禾三</v>
      </c>
      <c r="V67" s="46">
        <v>3.0000000000000001E-3</v>
      </c>
    </row>
    <row r="68" spans="1:22" s="6" customFormat="1" ht="17.25" customHeight="1" x14ac:dyDescent="0.4">
      <c r="A68" s="31" t="s">
        <v>141</v>
      </c>
      <c r="B68" s="32">
        <v>37022</v>
      </c>
      <c r="C68" s="32" t="s">
        <v>61</v>
      </c>
      <c r="D68" s="33" t="s">
        <v>62</v>
      </c>
      <c r="E68" s="80">
        <v>7.060000000000001E-2</v>
      </c>
      <c r="F68" s="81">
        <v>0.03</v>
      </c>
      <c r="G68" s="34">
        <v>46688</v>
      </c>
      <c r="H68" s="34">
        <v>46702</v>
      </c>
      <c r="I68" s="35">
        <v>2.2520547945205478</v>
      </c>
      <c r="J68" s="36">
        <v>100</v>
      </c>
      <c r="K68" s="37">
        <v>76.900000000000006</v>
      </c>
      <c r="L68" s="38">
        <v>0.87126137841352402</v>
      </c>
      <c r="M68" s="39">
        <v>102.1</v>
      </c>
      <c r="N68" s="40">
        <v>0.1718641791044776</v>
      </c>
      <c r="O68" s="82">
        <v>9159.9999999999964</v>
      </c>
      <c r="P68" s="41">
        <v>1</v>
      </c>
      <c r="Q68" s="41">
        <v>0.251</v>
      </c>
      <c r="R68" s="42" t="s">
        <v>27</v>
      </c>
      <c r="S68" s="43"/>
      <c r="T68" s="47"/>
      <c r="U68" s="45" t="str">
        <f t="shared" si="1"/>
        <v>大聯大二</v>
      </c>
      <c r="V68" s="46">
        <v>3.0000000000000001E-3</v>
      </c>
    </row>
    <row r="69" spans="1:22" s="6" customFormat="1" ht="17.25" customHeight="1" x14ac:dyDescent="0.4">
      <c r="A69" s="31" t="s">
        <v>142</v>
      </c>
      <c r="B69" s="32">
        <v>37023</v>
      </c>
      <c r="C69" s="32" t="s">
        <v>61</v>
      </c>
      <c r="D69" s="33" t="s">
        <v>62</v>
      </c>
      <c r="E69" s="80">
        <v>7.1400000000000005E-2</v>
      </c>
      <c r="F69" s="81">
        <v>0.03</v>
      </c>
      <c r="G69" s="34">
        <v>46699</v>
      </c>
      <c r="H69" s="34">
        <v>46712</v>
      </c>
      <c r="I69" s="35">
        <v>2.2794520547945205</v>
      </c>
      <c r="J69" s="36">
        <v>100</v>
      </c>
      <c r="K69" s="37">
        <v>74.599999999999994</v>
      </c>
      <c r="L69" s="38">
        <v>0.89812332439678288</v>
      </c>
      <c r="M69" s="39">
        <v>101.6</v>
      </c>
      <c r="N69" s="40">
        <v>0.13124776119402976</v>
      </c>
      <c r="O69" s="82">
        <v>8739.9999999999945</v>
      </c>
      <c r="P69" s="41">
        <v>1</v>
      </c>
      <c r="Q69" s="41">
        <v>0.251</v>
      </c>
      <c r="R69" s="42" t="s">
        <v>27</v>
      </c>
      <c r="S69" s="43"/>
      <c r="T69" s="47"/>
      <c r="U69" s="45" t="str">
        <f t="shared" si="1"/>
        <v>大聯大三</v>
      </c>
      <c r="V69" s="46">
        <v>3.0000000000000001E-3</v>
      </c>
    </row>
    <row r="70" spans="1:22" s="6" customFormat="1" ht="17.25" customHeight="1" x14ac:dyDescent="0.4">
      <c r="A70" s="31" t="s">
        <v>143</v>
      </c>
      <c r="B70" s="32">
        <v>37083</v>
      </c>
      <c r="C70" s="32" t="s">
        <v>144</v>
      </c>
      <c r="D70" s="33" t="s">
        <v>74</v>
      </c>
      <c r="E70" s="80">
        <v>2.8999999999999998E-2</v>
      </c>
      <c r="F70" s="81">
        <v>2.3E-2</v>
      </c>
      <c r="G70" s="34">
        <v>46279</v>
      </c>
      <c r="H70" s="34">
        <v>46292</v>
      </c>
      <c r="I70" s="35">
        <v>1.1287671232876713</v>
      </c>
      <c r="J70" s="36">
        <v>100</v>
      </c>
      <c r="K70" s="37">
        <v>86.4</v>
      </c>
      <c r="L70" s="38">
        <v>1.4699074074074074</v>
      </c>
      <c r="M70" s="39">
        <v>148</v>
      </c>
      <c r="N70" s="40">
        <v>6.8661417322835152E-3</v>
      </c>
      <c r="O70" s="82">
        <v>50900</v>
      </c>
      <c r="P70" s="41">
        <v>0.33650000000000002</v>
      </c>
      <c r="Q70" s="41">
        <v>0.60099999999999998</v>
      </c>
      <c r="R70" s="42" t="s">
        <v>26</v>
      </c>
      <c r="S70" s="43" t="s">
        <v>3</v>
      </c>
      <c r="T70" s="47"/>
      <c r="U70" s="45" t="str">
        <f t="shared" si="1"/>
        <v>上緯投控三</v>
      </c>
      <c r="V70" s="46">
        <v>3.0000000000000001E-3</v>
      </c>
    </row>
    <row r="71" spans="1:22" s="6" customFormat="1" ht="17.25" customHeight="1" x14ac:dyDescent="0.4">
      <c r="A71" s="31" t="s">
        <v>145</v>
      </c>
      <c r="B71" s="32">
        <v>41236</v>
      </c>
      <c r="C71" s="32" t="s">
        <v>146</v>
      </c>
      <c r="D71" s="33" t="s">
        <v>74</v>
      </c>
      <c r="E71" s="80">
        <v>6.54E-2</v>
      </c>
      <c r="F71" s="81">
        <v>2.3E-2</v>
      </c>
      <c r="G71" s="34">
        <v>46855</v>
      </c>
      <c r="H71" s="34">
        <v>46869</v>
      </c>
      <c r="I71" s="35">
        <v>2.7095890410958905</v>
      </c>
      <c r="J71" s="36">
        <v>100</v>
      </c>
      <c r="K71" s="37">
        <v>41.3</v>
      </c>
      <c r="L71" s="38">
        <v>0.91888619854721565</v>
      </c>
      <c r="M71" s="39">
        <v>111</v>
      </c>
      <c r="N71" s="40">
        <v>0.20798418972331992</v>
      </c>
      <c r="O71" s="82">
        <v>17540</v>
      </c>
      <c r="P71" s="41">
        <v>0.90885714285714281</v>
      </c>
      <c r="Q71" s="41">
        <v>0.193</v>
      </c>
      <c r="R71" s="42" t="s">
        <v>26</v>
      </c>
      <c r="S71" s="43"/>
      <c r="T71" s="47"/>
      <c r="U71" s="45" t="str">
        <f t="shared" si="1"/>
        <v>晟德六</v>
      </c>
      <c r="V71" s="46">
        <v>3.0000000000000001E-3</v>
      </c>
    </row>
    <row r="72" spans="1:22" s="6" customFormat="1" ht="17.25" customHeight="1" x14ac:dyDescent="0.4">
      <c r="A72" s="31" t="s">
        <v>147</v>
      </c>
      <c r="B72" s="32">
        <v>41295</v>
      </c>
      <c r="C72" s="32" t="s">
        <v>61</v>
      </c>
      <c r="D72" s="33" t="s">
        <v>74</v>
      </c>
      <c r="E72" s="80">
        <v>9.2999999999999999E-2</v>
      </c>
      <c r="F72" s="81">
        <v>3.7499999999999999E-2</v>
      </c>
      <c r="G72" s="34">
        <v>46888</v>
      </c>
      <c r="H72" s="34">
        <v>46902</v>
      </c>
      <c r="I72" s="35">
        <v>2.8</v>
      </c>
      <c r="J72" s="36">
        <v>101.50749999999999</v>
      </c>
      <c r="K72" s="37">
        <v>105.6</v>
      </c>
      <c r="L72" s="38">
        <v>0.98484848484848486</v>
      </c>
      <c r="M72" s="39">
        <v>112.1</v>
      </c>
      <c r="N72" s="40">
        <v>0.1382461538461538</v>
      </c>
      <c r="O72" s="82">
        <v>21399.999999999993</v>
      </c>
      <c r="P72" s="41">
        <v>1</v>
      </c>
      <c r="Q72" s="41">
        <v>0.26400000000000001</v>
      </c>
      <c r="R72" s="42" t="s">
        <v>27</v>
      </c>
      <c r="S72" s="43"/>
      <c r="T72" s="47"/>
      <c r="U72" s="45" t="str">
        <f t="shared" ref="U72:U103" si="2">A72</f>
        <v>聯合五</v>
      </c>
      <c r="V72" s="46">
        <v>3.0000000000000001E-3</v>
      </c>
    </row>
    <row r="73" spans="1:22" s="6" customFormat="1" ht="17.25" customHeight="1" x14ac:dyDescent="0.4">
      <c r="A73" s="31" t="s">
        <v>148</v>
      </c>
      <c r="B73" s="32">
        <v>41645</v>
      </c>
      <c r="C73" s="32" t="s">
        <v>61</v>
      </c>
      <c r="D73" s="33" t="s">
        <v>74</v>
      </c>
      <c r="E73" s="80">
        <v>0.11710000000000001</v>
      </c>
      <c r="F73" s="81">
        <v>4.2500000000000003E-2</v>
      </c>
      <c r="G73" s="34">
        <v>46910</v>
      </c>
      <c r="H73" s="34">
        <v>46924</v>
      </c>
      <c r="I73" s="35">
        <v>2.8602739726027395</v>
      </c>
      <c r="J73" s="36">
        <v>100.752</v>
      </c>
      <c r="K73" s="37">
        <v>47</v>
      </c>
      <c r="L73" s="38">
        <v>0.98297872340425541</v>
      </c>
      <c r="M73" s="39">
        <v>109.4</v>
      </c>
      <c r="N73" s="40">
        <v>0.11294372294372289</v>
      </c>
      <c r="O73" s="82">
        <v>21110.000000000007</v>
      </c>
      <c r="P73" s="41">
        <v>1</v>
      </c>
      <c r="Q73" s="41">
        <v>0.24299999999999999</v>
      </c>
      <c r="R73" s="42" t="s">
        <v>27</v>
      </c>
      <c r="S73" s="43"/>
      <c r="T73" s="47"/>
      <c r="U73" s="45" t="str">
        <f t="shared" si="2"/>
        <v>承業醫五</v>
      </c>
      <c r="V73" s="46">
        <v>3.0000000000000001E-3</v>
      </c>
    </row>
    <row r="74" spans="1:22" s="6" customFormat="1" ht="17.25" customHeight="1" x14ac:dyDescent="0.4">
      <c r="A74" s="85" t="s">
        <v>149</v>
      </c>
      <c r="B74" s="29">
        <v>44163</v>
      </c>
      <c r="C74" s="29" t="s">
        <v>144</v>
      </c>
      <c r="D74" s="87" t="s">
        <v>65</v>
      </c>
      <c r="E74" s="88">
        <v>7.1000000000000004E-3</v>
      </c>
      <c r="F74" s="90">
        <v>2.1999999999999999E-2</v>
      </c>
      <c r="G74" s="91">
        <v>46281</v>
      </c>
      <c r="H74" s="92">
        <v>46295</v>
      </c>
      <c r="I74" s="94">
        <v>1.1369863013698631</v>
      </c>
      <c r="J74" s="96">
        <v>102.1</v>
      </c>
      <c r="K74" s="97">
        <v>66.8</v>
      </c>
      <c r="L74" s="98">
        <v>0.88772455089820357</v>
      </c>
      <c r="M74" s="99">
        <v>105</v>
      </c>
      <c r="N74" s="100">
        <v>0.18279932546374375</v>
      </c>
      <c r="O74" s="101">
        <v>5710.0000000000009</v>
      </c>
      <c r="P74" s="102">
        <v>0.95589999999999997</v>
      </c>
      <c r="Q74" s="102">
        <v>0.11899999999999999</v>
      </c>
      <c r="R74" s="104" t="s">
        <v>26</v>
      </c>
      <c r="S74" s="106" t="s">
        <v>30</v>
      </c>
      <c r="T74" s="47"/>
      <c r="U74" s="45" t="str">
        <f t="shared" si="2"/>
        <v>三圓三</v>
      </c>
      <c r="V74" s="46">
        <v>3.0000000000000001E-3</v>
      </c>
    </row>
    <row r="75" spans="1:22" s="6" customFormat="1" ht="17.25" customHeight="1" x14ac:dyDescent="0.4">
      <c r="A75" s="31" t="s">
        <v>150</v>
      </c>
      <c r="B75" s="32">
        <v>44382</v>
      </c>
      <c r="C75" s="32" t="s">
        <v>61</v>
      </c>
      <c r="D75" s="33" t="s">
        <v>62</v>
      </c>
      <c r="E75" s="80">
        <v>7.1000000000000004E-3</v>
      </c>
      <c r="F75" s="81">
        <v>2.8000000000000001E-2</v>
      </c>
      <c r="G75" s="34">
        <v>45919</v>
      </c>
      <c r="H75" s="34">
        <v>45933</v>
      </c>
      <c r="I75" s="35">
        <v>0.14520547945205478</v>
      </c>
      <c r="J75" s="36">
        <v>100</v>
      </c>
      <c r="K75" s="37">
        <v>118.6</v>
      </c>
      <c r="L75" s="38">
        <v>0.6298482293423272</v>
      </c>
      <c r="M75" s="39">
        <v>99.5</v>
      </c>
      <c r="N75" s="40">
        <v>0.57974564926372152</v>
      </c>
      <c r="O75" s="82">
        <v>210.00000000000003</v>
      </c>
      <c r="P75" s="41">
        <v>1</v>
      </c>
      <c r="Q75" s="41">
        <v>0.251</v>
      </c>
      <c r="R75" s="42" t="s">
        <v>27</v>
      </c>
      <c r="S75" s="43"/>
      <c r="T75" s="47"/>
      <c r="U75" s="45" t="str">
        <f t="shared" si="2"/>
        <v>廣越二</v>
      </c>
      <c r="V75" s="46">
        <v>3.0000000000000001E-3</v>
      </c>
    </row>
    <row r="76" spans="1:22" s="6" customFormat="1" ht="17.25" customHeight="1" x14ac:dyDescent="0.4">
      <c r="A76" s="31" t="s">
        <v>151</v>
      </c>
      <c r="B76" s="32">
        <v>45401</v>
      </c>
      <c r="C76" s="32" t="s">
        <v>144</v>
      </c>
      <c r="D76" s="33" t="s">
        <v>71</v>
      </c>
      <c r="E76" s="80">
        <v>7.5000000000000006E-3</v>
      </c>
      <c r="F76" s="81">
        <v>2.1999999999999999E-2</v>
      </c>
      <c r="G76" s="34">
        <v>45940</v>
      </c>
      <c r="H76" s="34">
        <v>45954</v>
      </c>
      <c r="I76" s="35">
        <v>0.20273972602739726</v>
      </c>
      <c r="J76" s="36">
        <v>100</v>
      </c>
      <c r="K76" s="37">
        <v>38.9</v>
      </c>
      <c r="L76" s="38">
        <v>1.0616966580976863</v>
      </c>
      <c r="M76" s="39">
        <v>107.8</v>
      </c>
      <c r="N76" s="40">
        <v>1.5355932203389867E-2</v>
      </c>
      <c r="O76" s="82">
        <v>8549.9999999999982</v>
      </c>
      <c r="P76" s="41">
        <v>0.1888</v>
      </c>
      <c r="Q76" s="41">
        <v>0.318</v>
      </c>
      <c r="R76" s="42" t="s">
        <v>26</v>
      </c>
      <c r="S76" s="43"/>
      <c r="T76" s="47"/>
      <c r="U76" s="45" t="str">
        <f t="shared" si="2"/>
        <v>全球傳動一</v>
      </c>
      <c r="V76" s="46">
        <v>3.0000000000000001E-3</v>
      </c>
    </row>
    <row r="77" spans="1:22" s="6" customFormat="1" ht="16" customHeight="1" x14ac:dyDescent="0.4">
      <c r="A77" s="31" t="s">
        <v>152</v>
      </c>
      <c r="B77" s="32">
        <v>45554</v>
      </c>
      <c r="C77" s="32" t="s">
        <v>153</v>
      </c>
      <c r="D77" s="33" t="s">
        <v>71</v>
      </c>
      <c r="E77" s="80">
        <v>6.8100000000000008E-2</v>
      </c>
      <c r="F77" s="81">
        <v>2.3E-2</v>
      </c>
      <c r="G77" s="34">
        <v>46899</v>
      </c>
      <c r="H77" s="34">
        <v>46913</v>
      </c>
      <c r="I77" s="35">
        <v>2.8301369863013699</v>
      </c>
      <c r="J77" s="36">
        <v>100</v>
      </c>
      <c r="K77" s="37">
        <v>43.4</v>
      </c>
      <c r="L77" s="38">
        <v>0.88364055299539179</v>
      </c>
      <c r="M77" s="39">
        <v>103</v>
      </c>
      <c r="N77" s="40">
        <v>0.16563233376792694</v>
      </c>
      <c r="O77" s="82">
        <v>9810</v>
      </c>
      <c r="P77" s="41">
        <v>1</v>
      </c>
      <c r="Q77" s="41">
        <v>0.378</v>
      </c>
      <c r="R77" s="42" t="s">
        <v>26</v>
      </c>
      <c r="S77" s="43"/>
      <c r="T77" s="47"/>
      <c r="U77" s="45" t="str">
        <f t="shared" si="2"/>
        <v>氣立四</v>
      </c>
      <c r="V77" s="46">
        <v>3.0000000000000001E-3</v>
      </c>
    </row>
    <row r="78" spans="1:22" s="6" customFormat="1" ht="17.25" customHeight="1" x14ac:dyDescent="0.4">
      <c r="A78" s="31" t="s">
        <v>154</v>
      </c>
      <c r="B78" s="32">
        <v>45721</v>
      </c>
      <c r="C78" s="32" t="s">
        <v>61</v>
      </c>
      <c r="D78" s="33" t="s">
        <v>74</v>
      </c>
      <c r="E78" s="80">
        <v>3.7900000000000003E-2</v>
      </c>
      <c r="F78" s="81">
        <v>3.7499999999999999E-2</v>
      </c>
      <c r="G78" s="34">
        <v>46205</v>
      </c>
      <c r="H78" s="34">
        <v>46219</v>
      </c>
      <c r="I78" s="35">
        <v>0.92876712328767119</v>
      </c>
      <c r="J78" s="36">
        <v>100</v>
      </c>
      <c r="K78" s="37">
        <v>169.6</v>
      </c>
      <c r="L78" s="38">
        <v>0.97287735849056611</v>
      </c>
      <c r="M78" s="39">
        <v>113.6</v>
      </c>
      <c r="N78" s="40">
        <v>0.16767030303030281</v>
      </c>
      <c r="O78" s="82">
        <v>17389.999999999993</v>
      </c>
      <c r="P78" s="41">
        <v>1</v>
      </c>
      <c r="Q78" s="41">
        <v>0.19400000000000001</v>
      </c>
      <c r="R78" s="42" t="s">
        <v>27</v>
      </c>
      <c r="S78" s="43"/>
      <c r="T78" s="47"/>
      <c r="U78" s="45" t="str">
        <f t="shared" si="2"/>
        <v>駐龍一</v>
      </c>
      <c r="V78" s="46">
        <v>3.0000000000000001E-3</v>
      </c>
    </row>
    <row r="79" spans="1:22" s="6" customFormat="1" ht="17.25" customHeight="1" x14ac:dyDescent="0.4">
      <c r="A79" s="31" t="s">
        <v>155</v>
      </c>
      <c r="B79" s="32">
        <v>47393</v>
      </c>
      <c r="C79" s="32" t="s">
        <v>156</v>
      </c>
      <c r="D79" s="33" t="s">
        <v>80</v>
      </c>
      <c r="E79" s="80">
        <v>3.1E-2</v>
      </c>
      <c r="F79" s="81">
        <v>2.3E-2</v>
      </c>
      <c r="G79" s="34">
        <v>46309</v>
      </c>
      <c r="H79" s="34">
        <v>46323</v>
      </c>
      <c r="I79" s="35">
        <v>1.2136986301369863</v>
      </c>
      <c r="J79" s="36">
        <v>100</v>
      </c>
      <c r="K79" s="37">
        <v>98.5</v>
      </c>
      <c r="L79" s="38">
        <v>0.57766497461928934</v>
      </c>
      <c r="M79" s="39">
        <v>103.5</v>
      </c>
      <c r="N79" s="40">
        <v>0.79169595782073809</v>
      </c>
      <c r="O79" s="82">
        <v>6600</v>
      </c>
      <c r="P79" s="41">
        <v>0.9921428571428571</v>
      </c>
      <c r="Q79" s="41">
        <v>0.497</v>
      </c>
      <c r="R79" s="42" t="s">
        <v>26</v>
      </c>
      <c r="S79" s="43"/>
      <c r="T79" s="47"/>
      <c r="U79" s="45" t="str">
        <f t="shared" si="2"/>
        <v>康普三</v>
      </c>
      <c r="V79" s="46">
        <v>3.0000000000000001E-3</v>
      </c>
    </row>
    <row r="80" spans="1:22" s="6" customFormat="1" ht="21" customHeight="1" x14ac:dyDescent="0.4">
      <c r="A80" s="31" t="s">
        <v>157</v>
      </c>
      <c r="B80" s="32">
        <v>49066</v>
      </c>
      <c r="C80" s="32" t="s">
        <v>61</v>
      </c>
      <c r="D80" s="33" t="s">
        <v>80</v>
      </c>
      <c r="E80" s="80">
        <v>3.3399999999999999E-2</v>
      </c>
      <c r="F80" s="81">
        <v>3.7499999999999999E-2</v>
      </c>
      <c r="G80" s="34">
        <v>46161</v>
      </c>
      <c r="H80" s="34">
        <v>46175</v>
      </c>
      <c r="I80" s="35">
        <v>0.80821917808219179</v>
      </c>
      <c r="J80" s="36">
        <v>100</v>
      </c>
      <c r="K80" s="37">
        <v>26.6</v>
      </c>
      <c r="L80" s="38">
        <v>0.91165413533834583</v>
      </c>
      <c r="M80" s="39">
        <v>108.75</v>
      </c>
      <c r="N80" s="40">
        <v>0.19288659793814439</v>
      </c>
      <c r="O80" s="82">
        <v>12090</v>
      </c>
      <c r="P80" s="41">
        <v>0.43013333333333331</v>
      </c>
      <c r="Q80" s="41">
        <v>0.254</v>
      </c>
      <c r="R80" s="42" t="s">
        <v>27</v>
      </c>
      <c r="S80" s="43"/>
      <c r="T80" s="47"/>
      <c r="U80" s="45" t="str">
        <f t="shared" si="2"/>
        <v>正文六</v>
      </c>
      <c r="V80" s="46">
        <v>3.0000000000000001E-3</v>
      </c>
    </row>
    <row r="81" spans="1:22" s="6" customFormat="1" ht="17.25" customHeight="1" x14ac:dyDescent="0.4">
      <c r="A81" s="31" t="s">
        <v>158</v>
      </c>
      <c r="B81" s="32">
        <v>49793</v>
      </c>
      <c r="C81" s="32" t="s">
        <v>61</v>
      </c>
      <c r="D81" s="33" t="s">
        <v>74</v>
      </c>
      <c r="E81" s="80">
        <v>4.6200000000000005E-2</v>
      </c>
      <c r="F81" s="81">
        <v>0.04</v>
      </c>
      <c r="G81" s="34">
        <v>46351</v>
      </c>
      <c r="H81" s="34">
        <v>46365</v>
      </c>
      <c r="I81" s="35">
        <v>1.3287671232876712</v>
      </c>
      <c r="J81" s="36">
        <v>101.0025</v>
      </c>
      <c r="K81" s="37">
        <v>176.5</v>
      </c>
      <c r="L81" s="38">
        <v>1.0623229461756374</v>
      </c>
      <c r="M81" s="39">
        <v>126.35</v>
      </c>
      <c r="N81" s="40">
        <v>0.18937466666666664</v>
      </c>
      <c r="O81" s="82">
        <v>30969.999999999996</v>
      </c>
      <c r="P81" s="41">
        <v>1</v>
      </c>
      <c r="Q81" s="41">
        <v>0.44</v>
      </c>
      <c r="R81" s="42" t="s">
        <v>27</v>
      </c>
      <c r="S81" s="43"/>
      <c r="T81" s="47"/>
      <c r="U81" s="45" t="str">
        <f t="shared" si="2"/>
        <v>華星光三</v>
      </c>
      <c r="V81" s="46">
        <v>3.0000000000000001E-3</v>
      </c>
    </row>
    <row r="82" spans="1:22" s="6" customFormat="1" ht="17.25" customHeight="1" x14ac:dyDescent="0.4">
      <c r="A82" s="31" t="s">
        <v>159</v>
      </c>
      <c r="B82" s="32">
        <v>49794</v>
      </c>
      <c r="C82" s="32" t="s">
        <v>61</v>
      </c>
      <c r="D82" s="33" t="s">
        <v>74</v>
      </c>
      <c r="E82" s="80">
        <v>5.8000000000000003E-2</v>
      </c>
      <c r="F82" s="81">
        <v>0.04</v>
      </c>
      <c r="G82" s="34">
        <v>46367</v>
      </c>
      <c r="H82" s="34">
        <v>46381</v>
      </c>
      <c r="I82" s="35">
        <v>1.3726027397260274</v>
      </c>
      <c r="J82" s="36">
        <v>100</v>
      </c>
      <c r="K82" s="37">
        <v>204.3</v>
      </c>
      <c r="L82" s="38">
        <v>0.91776798825256956</v>
      </c>
      <c r="M82" s="39">
        <v>118.5</v>
      </c>
      <c r="N82" s="40">
        <v>0.29117600000000021</v>
      </c>
      <c r="O82" s="82">
        <v>24300</v>
      </c>
      <c r="P82" s="41">
        <v>1</v>
      </c>
      <c r="Q82" s="41">
        <v>0.44</v>
      </c>
      <c r="R82" s="42" t="s">
        <v>27</v>
      </c>
      <c r="S82" s="43"/>
      <c r="T82" s="47"/>
      <c r="U82" s="45" t="str">
        <f t="shared" si="2"/>
        <v>華星光四</v>
      </c>
      <c r="V82" s="46">
        <v>3.0000000000000001E-3</v>
      </c>
    </row>
    <row r="83" spans="1:22" s="6" customFormat="1" ht="17.25" customHeight="1" x14ac:dyDescent="0.4">
      <c r="A83" s="31" t="s">
        <v>160</v>
      </c>
      <c r="B83" s="32">
        <v>52303</v>
      </c>
      <c r="C83" s="32" t="s">
        <v>79</v>
      </c>
      <c r="D83" s="33" t="s">
        <v>71</v>
      </c>
      <c r="E83" s="80">
        <v>2.3E-2</v>
      </c>
      <c r="F83" s="81">
        <v>2.1000000000000001E-2</v>
      </c>
      <c r="G83" s="34">
        <v>46213</v>
      </c>
      <c r="H83" s="34">
        <v>46227</v>
      </c>
      <c r="I83" s="35">
        <v>0.9506849315068493</v>
      </c>
      <c r="J83" s="36">
        <v>100</v>
      </c>
      <c r="K83" s="37">
        <v>22</v>
      </c>
      <c r="L83" s="38">
        <v>0.89090909090909098</v>
      </c>
      <c r="M83" s="39">
        <v>112</v>
      </c>
      <c r="N83" s="40">
        <v>0.25714285714285712</v>
      </c>
      <c r="O83" s="82">
        <v>14299.999999999998</v>
      </c>
      <c r="P83" s="41">
        <v>0.19866666666666666</v>
      </c>
      <c r="Q83" s="41">
        <v>0.218</v>
      </c>
      <c r="R83" s="42" t="s">
        <v>26</v>
      </c>
      <c r="S83" s="43"/>
      <c r="T83" s="47"/>
      <c r="U83" s="45" t="str">
        <f t="shared" si="2"/>
        <v>雷笛克光學三</v>
      </c>
      <c r="V83" s="46">
        <v>3.0000000000000001E-3</v>
      </c>
    </row>
    <row r="84" spans="1:22" s="6" customFormat="1" ht="17.25" customHeight="1" x14ac:dyDescent="0.4">
      <c r="A84" s="31" t="s">
        <v>161</v>
      </c>
      <c r="B84" s="32">
        <v>52451</v>
      </c>
      <c r="C84" s="32" t="s">
        <v>77</v>
      </c>
      <c r="D84" s="33" t="s">
        <v>71</v>
      </c>
      <c r="E84" s="80">
        <v>3.9000000000000003E-3</v>
      </c>
      <c r="F84" s="81">
        <v>2.1999999999999999E-2</v>
      </c>
      <c r="G84" s="34">
        <v>45880</v>
      </c>
      <c r="H84" s="34">
        <v>45894</v>
      </c>
      <c r="I84" s="35">
        <v>3.8356164383561646E-2</v>
      </c>
      <c r="J84" s="36">
        <v>100</v>
      </c>
      <c r="K84" s="37">
        <v>61.5</v>
      </c>
      <c r="L84" s="38">
        <v>0.54390243902439028</v>
      </c>
      <c r="M84" s="39">
        <v>99.7</v>
      </c>
      <c r="N84" s="40">
        <v>0.83304932735426018</v>
      </c>
      <c r="O84" s="82" t="s">
        <v>162</v>
      </c>
      <c r="P84" s="41">
        <v>0.51633333333333331</v>
      </c>
      <c r="Q84" s="41">
        <v>0.68899999999999995</v>
      </c>
      <c r="R84" s="42" t="s">
        <v>26</v>
      </c>
      <c r="S84" s="43" t="s">
        <v>3</v>
      </c>
      <c r="T84" s="47"/>
      <c r="U84" s="45" t="str">
        <f t="shared" si="2"/>
        <v>智晶一</v>
      </c>
      <c r="V84" s="46">
        <v>3.0000000000000001E-3</v>
      </c>
    </row>
    <row r="85" spans="1:22" s="6" customFormat="1" ht="17.25" customHeight="1" x14ac:dyDescent="0.4">
      <c r="A85" s="31" t="s">
        <v>163</v>
      </c>
      <c r="B85" s="32">
        <v>52635</v>
      </c>
      <c r="C85" s="32" t="s">
        <v>164</v>
      </c>
      <c r="D85" s="33" t="s">
        <v>71</v>
      </c>
      <c r="E85" s="80">
        <v>1.3399999999999999E-2</v>
      </c>
      <c r="F85" s="81">
        <v>2.1999999999999999E-2</v>
      </c>
      <c r="G85" s="34">
        <v>46071</v>
      </c>
      <c r="H85" s="34">
        <v>46085</v>
      </c>
      <c r="I85" s="35">
        <v>0.56164383561643838</v>
      </c>
      <c r="J85" s="36">
        <v>100.20010000000001</v>
      </c>
      <c r="K85" s="37">
        <v>111.7</v>
      </c>
      <c r="L85" s="38">
        <v>0.82990152193375111</v>
      </c>
      <c r="M85" s="39">
        <v>107.3</v>
      </c>
      <c r="N85" s="40">
        <v>0.29292448759439049</v>
      </c>
      <c r="O85" s="82">
        <v>8639.9999999999964</v>
      </c>
      <c r="P85" s="41">
        <v>0.50462499999999999</v>
      </c>
      <c r="Q85" s="41">
        <v>0.20300000000000001</v>
      </c>
      <c r="R85" s="42" t="s">
        <v>26</v>
      </c>
      <c r="S85" s="43"/>
      <c r="T85" s="47"/>
      <c r="U85" s="45" t="str">
        <f t="shared" si="2"/>
        <v>智崴五</v>
      </c>
      <c r="V85" s="46">
        <v>3.0000000000000001E-3</v>
      </c>
    </row>
    <row r="86" spans="1:22" s="6" customFormat="1" ht="17.25" customHeight="1" x14ac:dyDescent="0.4">
      <c r="A86" s="31" t="s">
        <v>165</v>
      </c>
      <c r="B86" s="32">
        <v>53064</v>
      </c>
      <c r="C86" s="32" t="s">
        <v>166</v>
      </c>
      <c r="D86" s="33" t="s">
        <v>62</v>
      </c>
      <c r="E86" s="80">
        <v>3.1699999999999999E-2</v>
      </c>
      <c r="F86" s="81">
        <v>2.3E-2</v>
      </c>
      <c r="G86" s="34">
        <v>46321</v>
      </c>
      <c r="H86" s="34">
        <v>46334</v>
      </c>
      <c r="I86" s="35">
        <v>1.2438356164383562</v>
      </c>
      <c r="J86" s="36">
        <v>100</v>
      </c>
      <c r="K86" s="37">
        <v>123.8</v>
      </c>
      <c r="L86" s="38">
        <v>0.76575121163166382</v>
      </c>
      <c r="M86" s="39">
        <v>102.5</v>
      </c>
      <c r="N86" s="40">
        <v>0.33855485232067528</v>
      </c>
      <c r="O86" s="82">
        <v>5670</v>
      </c>
      <c r="P86" s="41">
        <v>0.99990000000000001</v>
      </c>
      <c r="Q86" s="41">
        <v>0.255</v>
      </c>
      <c r="R86" s="42" t="s">
        <v>26</v>
      </c>
      <c r="S86" s="43"/>
      <c r="T86" s="47"/>
      <c r="U86" s="45" t="str">
        <f t="shared" si="2"/>
        <v>桂盟四</v>
      </c>
      <c r="V86" s="46">
        <v>3.0000000000000001E-3</v>
      </c>
    </row>
    <row r="87" spans="1:22" s="6" customFormat="1" ht="17.25" customHeight="1" x14ac:dyDescent="0.4">
      <c r="A87" s="31" t="s">
        <v>167</v>
      </c>
      <c r="B87" s="32">
        <v>53887</v>
      </c>
      <c r="C87" s="32" t="s">
        <v>61</v>
      </c>
      <c r="D87" s="33" t="s">
        <v>62</v>
      </c>
      <c r="E87" s="80">
        <v>3.8700000000000005E-2</v>
      </c>
      <c r="F87" s="81">
        <v>2.7E-2</v>
      </c>
      <c r="G87" s="34">
        <v>46349</v>
      </c>
      <c r="H87" s="34">
        <v>46362</v>
      </c>
      <c r="I87" s="35">
        <v>1.3205479452054794</v>
      </c>
      <c r="J87" s="36">
        <v>100</v>
      </c>
      <c r="K87" s="37">
        <v>134.6</v>
      </c>
      <c r="L87" s="38">
        <v>0.76523031203566139</v>
      </c>
      <c r="M87" s="39">
        <v>108.4</v>
      </c>
      <c r="N87" s="40">
        <v>0.41656699029126198</v>
      </c>
      <c r="O87" s="82">
        <v>12270.000000000005</v>
      </c>
      <c r="P87" s="41">
        <v>1</v>
      </c>
      <c r="Q87" s="41">
        <v>0.46600000000000003</v>
      </c>
      <c r="R87" s="42" t="s">
        <v>27</v>
      </c>
      <c r="S87" s="43"/>
      <c r="T87" s="47"/>
      <c r="U87" s="45" t="str">
        <f t="shared" si="2"/>
        <v>中磊七</v>
      </c>
      <c r="V87" s="46">
        <v>3.0000000000000001E-3</v>
      </c>
    </row>
    <row r="88" spans="1:22" s="6" customFormat="1" ht="17.25" customHeight="1" x14ac:dyDescent="0.4">
      <c r="A88" s="31" t="s">
        <v>168</v>
      </c>
      <c r="B88" s="32">
        <v>54342</v>
      </c>
      <c r="C88" s="32" t="s">
        <v>61</v>
      </c>
      <c r="D88" s="33" t="s">
        <v>91</v>
      </c>
      <c r="E88" s="80">
        <v>2.69E-2</v>
      </c>
      <c r="F88" s="81">
        <v>2.7E-2</v>
      </c>
      <c r="G88" s="34">
        <v>46188</v>
      </c>
      <c r="H88" s="34">
        <v>46202</v>
      </c>
      <c r="I88" s="35">
        <v>0.88219178082191785</v>
      </c>
      <c r="J88" s="36">
        <v>100</v>
      </c>
      <c r="K88" s="37">
        <v>184.1</v>
      </c>
      <c r="L88" s="38">
        <v>1.5779467680608366</v>
      </c>
      <c r="M88" s="39">
        <v>160</v>
      </c>
      <c r="N88" s="40">
        <v>1.3975903614457785E-2</v>
      </c>
      <c r="O88" s="82">
        <v>62690</v>
      </c>
      <c r="P88" s="41">
        <v>0.43269999999999997</v>
      </c>
      <c r="Q88" s="41">
        <v>0.182</v>
      </c>
      <c r="R88" s="42" t="s">
        <v>26</v>
      </c>
      <c r="S88" s="43"/>
      <c r="T88" s="47"/>
      <c r="U88" s="45" t="str">
        <f t="shared" si="2"/>
        <v>崇越二</v>
      </c>
      <c r="V88" s="46">
        <v>3.0000000000000001E-3</v>
      </c>
    </row>
    <row r="89" spans="1:22" s="6" customFormat="1" ht="17.25" customHeight="1" x14ac:dyDescent="0.4">
      <c r="A89" s="31" t="s">
        <v>169</v>
      </c>
      <c r="B89" s="32">
        <v>54501</v>
      </c>
      <c r="C89" s="32" t="s">
        <v>119</v>
      </c>
      <c r="D89" s="33" t="s">
        <v>71</v>
      </c>
      <c r="E89" s="80">
        <v>8.8999999999999999E-3</v>
      </c>
      <c r="F89" s="81">
        <v>2.1999999999999999E-2</v>
      </c>
      <c r="G89" s="34">
        <v>46090</v>
      </c>
      <c r="H89" s="34">
        <v>46102</v>
      </c>
      <c r="I89" s="35">
        <v>0.60821917808219184</v>
      </c>
      <c r="J89" s="36">
        <v>100.75</v>
      </c>
      <c r="K89" s="37">
        <v>18</v>
      </c>
      <c r="L89" s="38">
        <v>0.74722222222222223</v>
      </c>
      <c r="M89" s="39">
        <v>103.05</v>
      </c>
      <c r="N89" s="40">
        <v>0.37910780669144967</v>
      </c>
      <c r="O89" s="82">
        <v>3939.9999999999968</v>
      </c>
      <c r="P89" s="41">
        <v>0.99960000000000004</v>
      </c>
      <c r="Q89" s="41">
        <v>0.22600000000000001</v>
      </c>
      <c r="R89" s="42" t="s">
        <v>26</v>
      </c>
      <c r="S89" s="43"/>
      <c r="T89" s="47"/>
      <c r="U89" s="45" t="str">
        <f t="shared" si="2"/>
        <v>南良一</v>
      </c>
      <c r="V89" s="46">
        <v>3.0000000000000001E-3</v>
      </c>
    </row>
    <row r="90" spans="1:22" s="6" customFormat="1" ht="17.149999999999999" customHeight="1" x14ac:dyDescent="0.4">
      <c r="A90" s="31" t="s">
        <v>170</v>
      </c>
      <c r="B90" s="32">
        <v>56086</v>
      </c>
      <c r="C90" s="32" t="s">
        <v>171</v>
      </c>
      <c r="D90" s="33" t="s">
        <v>71</v>
      </c>
      <c r="E90" s="80">
        <v>2.2799999999999997E-2</v>
      </c>
      <c r="F90" s="81">
        <v>2.3E-2</v>
      </c>
      <c r="G90" s="34">
        <v>46181</v>
      </c>
      <c r="H90" s="34">
        <v>46194</v>
      </c>
      <c r="I90" s="35">
        <v>0.86027397260273974</v>
      </c>
      <c r="J90" s="36">
        <v>100</v>
      </c>
      <c r="K90" s="37">
        <v>22.1</v>
      </c>
      <c r="L90" s="38">
        <v>0.74434389140271473</v>
      </c>
      <c r="M90" s="39">
        <v>106</v>
      </c>
      <c r="N90" s="40">
        <v>0.42407294832826775</v>
      </c>
      <c r="O90" s="82">
        <v>8280</v>
      </c>
      <c r="P90" s="41">
        <v>0.99980000000000002</v>
      </c>
      <c r="Q90" s="41">
        <v>0.38600000000000001</v>
      </c>
      <c r="R90" s="42" t="s">
        <v>26</v>
      </c>
      <c r="S90" s="43"/>
      <c r="T90" s="47"/>
      <c r="U90" s="45" t="str">
        <f t="shared" si="2"/>
        <v>四維航六</v>
      </c>
      <c r="V90" s="46">
        <v>3.0000000000000001E-3</v>
      </c>
    </row>
    <row r="91" spans="1:22" s="6" customFormat="1" ht="17.149999999999999" customHeight="1" x14ac:dyDescent="0.4">
      <c r="A91" s="31" t="s">
        <v>172</v>
      </c>
      <c r="B91" s="32">
        <v>56087</v>
      </c>
      <c r="C91" s="32" t="s">
        <v>144</v>
      </c>
      <c r="D91" s="33" t="s">
        <v>71</v>
      </c>
      <c r="E91" s="80">
        <v>5.7100000000000005E-2</v>
      </c>
      <c r="F91" s="81">
        <v>2.3E-2</v>
      </c>
      <c r="G91" s="34">
        <v>46724</v>
      </c>
      <c r="H91" s="34">
        <v>46738</v>
      </c>
      <c r="I91" s="35">
        <v>2.3506849315068492</v>
      </c>
      <c r="J91" s="36">
        <v>100</v>
      </c>
      <c r="K91" s="37">
        <v>19.3</v>
      </c>
      <c r="L91" s="38">
        <v>0.8523316062176165</v>
      </c>
      <c r="M91" s="39">
        <v>107.75</v>
      </c>
      <c r="N91" s="40">
        <v>0.26417933130699089</v>
      </c>
      <c r="O91" s="82">
        <v>13460</v>
      </c>
      <c r="P91" s="41">
        <v>1</v>
      </c>
      <c r="Q91" s="41">
        <v>0.38600000000000001</v>
      </c>
      <c r="R91" s="42" t="s">
        <v>26</v>
      </c>
      <c r="S91" s="43"/>
      <c r="T91" s="47"/>
      <c r="U91" s="45" t="str">
        <f t="shared" si="2"/>
        <v>四維航七</v>
      </c>
      <c r="V91" s="46">
        <v>3.0000000000000001E-3</v>
      </c>
    </row>
    <row r="92" spans="1:22" s="6" customFormat="1" ht="17.149999999999999" customHeight="1" x14ac:dyDescent="0.4">
      <c r="A92" s="31" t="s">
        <v>173</v>
      </c>
      <c r="B92" s="32">
        <v>59055</v>
      </c>
      <c r="C92" s="32" t="s">
        <v>174</v>
      </c>
      <c r="D92" s="33" t="s">
        <v>71</v>
      </c>
      <c r="E92" s="80">
        <v>1.9899999999999998E-2</v>
      </c>
      <c r="F92" s="81">
        <v>2.1999999999999999E-2</v>
      </c>
      <c r="G92" s="34">
        <v>46146</v>
      </c>
      <c r="H92" s="34">
        <v>46160</v>
      </c>
      <c r="I92" s="35">
        <v>0.76712328767123283</v>
      </c>
      <c r="J92" s="36">
        <v>100</v>
      </c>
      <c r="K92" s="37">
        <v>12.62</v>
      </c>
      <c r="L92" s="38">
        <v>0.92709984152139457</v>
      </c>
      <c r="M92" s="39">
        <v>109.45</v>
      </c>
      <c r="N92" s="40">
        <v>0.18056324786324798</v>
      </c>
      <c r="O92" s="82">
        <v>11440.000000000004</v>
      </c>
      <c r="P92" s="41">
        <v>0.33100000000000002</v>
      </c>
      <c r="Q92" s="41">
        <v>0.313</v>
      </c>
      <c r="R92" s="42" t="s">
        <v>26</v>
      </c>
      <c r="S92" s="43" t="s">
        <v>3</v>
      </c>
      <c r="T92" s="47"/>
      <c r="U92" s="45" t="str">
        <f t="shared" si="2"/>
        <v>南仁湖四</v>
      </c>
      <c r="V92" s="46">
        <v>3.0000000000000001E-3</v>
      </c>
    </row>
    <row r="93" spans="1:22" s="6" customFormat="1" ht="17.25" customHeight="1" x14ac:dyDescent="0.4">
      <c r="A93" s="85" t="s">
        <v>175</v>
      </c>
      <c r="B93" s="29">
        <v>61041</v>
      </c>
      <c r="C93" s="29" t="s">
        <v>61</v>
      </c>
      <c r="D93" s="87" t="s">
        <v>80</v>
      </c>
      <c r="E93" s="88">
        <v>7.4500000000000011E-2</v>
      </c>
      <c r="F93" s="90">
        <v>3.5000000000000003E-2</v>
      </c>
      <c r="G93" s="91">
        <v>46611</v>
      </c>
      <c r="H93" s="92">
        <v>46625</v>
      </c>
      <c r="I93" s="94">
        <v>2.0410958904109591</v>
      </c>
      <c r="J93" s="96">
        <v>100</v>
      </c>
      <c r="K93" s="97">
        <v>124.8</v>
      </c>
      <c r="L93" s="98">
        <v>1.077724358974359</v>
      </c>
      <c r="M93" s="99">
        <v>121.1</v>
      </c>
      <c r="N93" s="100">
        <v>0.12366394052044603</v>
      </c>
      <c r="O93" s="101">
        <v>28549.999999999996</v>
      </c>
      <c r="P93" s="102">
        <v>0.87360000000000004</v>
      </c>
      <c r="Q93" s="102">
        <v>0.371</v>
      </c>
      <c r="R93" s="104" t="s">
        <v>27</v>
      </c>
      <c r="S93" s="106" t="s">
        <v>30</v>
      </c>
      <c r="T93" s="108"/>
      <c r="U93" s="45" t="str">
        <f t="shared" si="2"/>
        <v>創惟一</v>
      </c>
      <c r="V93" s="46">
        <v>3.0000000000000001E-3</v>
      </c>
    </row>
    <row r="94" spans="1:22" s="6" customFormat="1" ht="18" customHeight="1" x14ac:dyDescent="0.4">
      <c r="A94" s="31" t="s">
        <v>176</v>
      </c>
      <c r="B94" s="32">
        <v>61565</v>
      </c>
      <c r="C94" s="32" t="s">
        <v>61</v>
      </c>
      <c r="D94" s="33" t="s">
        <v>74</v>
      </c>
      <c r="E94" s="80">
        <v>8.2600000000000007E-2</v>
      </c>
      <c r="F94" s="81">
        <v>4.2500000000000003E-2</v>
      </c>
      <c r="G94" s="34">
        <v>46549</v>
      </c>
      <c r="H94" s="34">
        <v>46563</v>
      </c>
      <c r="I94" s="35">
        <v>1.8712328767123287</v>
      </c>
      <c r="J94" s="36">
        <v>100</v>
      </c>
      <c r="K94" s="37">
        <v>30.1</v>
      </c>
      <c r="L94" s="38">
        <v>0.84717607973421916</v>
      </c>
      <c r="M94" s="39">
        <v>103</v>
      </c>
      <c r="N94" s="40">
        <v>0.21580392156862754</v>
      </c>
      <c r="O94" s="82">
        <v>11260</v>
      </c>
      <c r="P94" s="41">
        <v>1</v>
      </c>
      <c r="Q94" s="41">
        <v>0.46200000000000002</v>
      </c>
      <c r="R94" s="42" t="s">
        <v>27</v>
      </c>
      <c r="S94" s="43"/>
      <c r="T94" s="47"/>
      <c r="U94" s="45" t="str">
        <f t="shared" si="2"/>
        <v>松上五</v>
      </c>
      <c r="V94" s="46">
        <v>3.0000000000000001E-3</v>
      </c>
    </row>
    <row r="95" spans="1:22" s="6" customFormat="1" ht="18" customHeight="1" x14ac:dyDescent="0.4">
      <c r="A95" s="31" t="s">
        <v>177</v>
      </c>
      <c r="B95" s="32">
        <v>61777</v>
      </c>
      <c r="C95" s="32" t="s">
        <v>61</v>
      </c>
      <c r="D95" s="33" t="s">
        <v>71</v>
      </c>
      <c r="E95" s="80">
        <v>7.6500000000000012E-2</v>
      </c>
      <c r="F95" s="81">
        <v>0.05</v>
      </c>
      <c r="G95" s="34">
        <v>46549</v>
      </c>
      <c r="H95" s="34">
        <v>46563</v>
      </c>
      <c r="I95" s="35">
        <v>1.8712328767123287</v>
      </c>
      <c r="J95" s="36">
        <v>102.01</v>
      </c>
      <c r="K95" s="37">
        <v>52.3</v>
      </c>
      <c r="L95" s="38">
        <v>0.79445506692160606</v>
      </c>
      <c r="M95" s="39">
        <v>105</v>
      </c>
      <c r="N95" s="40">
        <v>0.32166064981949466</v>
      </c>
      <c r="O95" s="82">
        <v>12650</v>
      </c>
      <c r="P95" s="41">
        <v>1</v>
      </c>
      <c r="Q95" s="41">
        <v>0.23200000000000001</v>
      </c>
      <c r="R95" s="42" t="s">
        <v>27</v>
      </c>
      <c r="S95" s="43"/>
      <c r="T95" s="47"/>
      <c r="U95" s="45" t="str">
        <f t="shared" si="2"/>
        <v>達麗七</v>
      </c>
      <c r="V95" s="46">
        <v>3.0000000000000001E-3</v>
      </c>
    </row>
    <row r="96" spans="1:22" s="6" customFormat="1" ht="18" customHeight="1" x14ac:dyDescent="0.4">
      <c r="A96" s="31" t="s">
        <v>178</v>
      </c>
      <c r="B96" s="32">
        <v>61843</v>
      </c>
      <c r="C96" s="32" t="s">
        <v>61</v>
      </c>
      <c r="D96" s="33" t="e">
        <v>#N/A</v>
      </c>
      <c r="E96" s="80">
        <v>4.6700000000000005E-2</v>
      </c>
      <c r="F96" s="81">
        <v>3.7499999999999999E-2</v>
      </c>
      <c r="G96" s="34">
        <v>46440</v>
      </c>
      <c r="H96" s="34">
        <v>46452</v>
      </c>
      <c r="I96" s="35">
        <v>1.5671232876712329</v>
      </c>
      <c r="J96" s="36">
        <v>101.50749999999999</v>
      </c>
      <c r="K96" s="37">
        <v>49.4</v>
      </c>
      <c r="L96" s="38">
        <v>1.0283400809716599</v>
      </c>
      <c r="M96" s="39">
        <v>102.35</v>
      </c>
      <c r="N96" s="40">
        <v>-4.7066929133858784E-3</v>
      </c>
      <c r="O96" s="82">
        <v>7019.9999999999955</v>
      </c>
      <c r="P96" s="41">
        <v>0.96740000000000004</v>
      </c>
      <c r="Q96" s="41">
        <v>5.2999999999999999E-2</v>
      </c>
      <c r="R96" s="42" t="s">
        <v>27</v>
      </c>
      <c r="S96" s="43"/>
      <c r="T96" s="47"/>
      <c r="U96" s="45" t="str">
        <f t="shared" si="2"/>
        <v>大豐電三</v>
      </c>
      <c r="V96" s="46">
        <v>3.0000000000000001E-3</v>
      </c>
    </row>
    <row r="97" spans="1:22" s="6" customFormat="1" ht="18" customHeight="1" x14ac:dyDescent="0.4">
      <c r="A97" s="31" t="s">
        <v>179</v>
      </c>
      <c r="B97" s="32">
        <v>61875</v>
      </c>
      <c r="C97" s="32" t="s">
        <v>61</v>
      </c>
      <c r="D97" s="33" t="s">
        <v>80</v>
      </c>
      <c r="E97" s="80">
        <v>5.6600000000000004E-2</v>
      </c>
      <c r="F97" s="81">
        <v>2.8000000000000001E-2</v>
      </c>
      <c r="G97" s="34">
        <v>46566</v>
      </c>
      <c r="H97" s="34">
        <v>46578</v>
      </c>
      <c r="I97" s="35">
        <v>1.9123287671232876</v>
      </c>
      <c r="J97" s="36">
        <v>100</v>
      </c>
      <c r="K97" s="37">
        <v>276.8</v>
      </c>
      <c r="L97" s="38">
        <v>1.296965317919075</v>
      </c>
      <c r="M97" s="39">
        <v>146</v>
      </c>
      <c r="N97" s="40">
        <v>0.12570473537604479</v>
      </c>
      <c r="O97" s="82">
        <v>51660.000000000007</v>
      </c>
      <c r="P97" s="41">
        <v>0.45400000000000001</v>
      </c>
      <c r="Q97" s="41">
        <v>0.28899999999999998</v>
      </c>
      <c r="R97" s="42" t="s">
        <v>27</v>
      </c>
      <c r="S97" s="43"/>
      <c r="T97" s="47"/>
      <c r="U97" s="45" t="str">
        <f t="shared" si="2"/>
        <v>萬潤五</v>
      </c>
      <c r="V97" s="46">
        <v>3.0000000000000001E-3</v>
      </c>
    </row>
    <row r="98" spans="1:22" s="6" customFormat="1" ht="18" customHeight="1" x14ac:dyDescent="0.4">
      <c r="A98" s="31" t="s">
        <v>180</v>
      </c>
      <c r="B98" s="32">
        <v>61894</v>
      </c>
      <c r="C98" s="32" t="s">
        <v>61</v>
      </c>
      <c r="D98" s="33" t="s">
        <v>62</v>
      </c>
      <c r="E98" s="80">
        <v>2.93E-2</v>
      </c>
      <c r="F98" s="81">
        <v>2.7E-2</v>
      </c>
      <c r="G98" s="34">
        <v>46322</v>
      </c>
      <c r="H98" s="34">
        <v>46336</v>
      </c>
      <c r="I98" s="35">
        <v>1.2493150684931507</v>
      </c>
      <c r="J98" s="36">
        <v>100.75190000000001</v>
      </c>
      <c r="K98" s="37">
        <v>54.56</v>
      </c>
      <c r="L98" s="38">
        <v>1.0465542521994136</v>
      </c>
      <c r="M98" s="39">
        <v>138</v>
      </c>
      <c r="N98" s="40">
        <v>0.31861295971978981</v>
      </c>
      <c r="O98" s="82">
        <v>40930</v>
      </c>
      <c r="P98" s="41">
        <v>0.25640000000000002</v>
      </c>
      <c r="Q98" s="41">
        <v>0.308</v>
      </c>
      <c r="R98" s="42" t="s">
        <v>26</v>
      </c>
      <c r="S98" s="43"/>
      <c r="T98" s="47"/>
      <c r="U98" s="45" t="str">
        <f t="shared" si="2"/>
        <v>豐藝四</v>
      </c>
      <c r="V98" s="46">
        <v>3.0000000000000001E-3</v>
      </c>
    </row>
    <row r="99" spans="1:22" s="6" customFormat="1" ht="18" customHeight="1" x14ac:dyDescent="0.4">
      <c r="A99" s="31" t="s">
        <v>181</v>
      </c>
      <c r="B99" s="32">
        <v>61906</v>
      </c>
      <c r="C99" s="32" t="s">
        <v>61</v>
      </c>
      <c r="D99" s="33" t="s">
        <v>74</v>
      </c>
      <c r="E99" s="80">
        <v>1.14E-2</v>
      </c>
      <c r="F99" s="81">
        <v>3.7499999999999999E-2</v>
      </c>
      <c r="G99" s="34">
        <v>45947</v>
      </c>
      <c r="H99" s="34">
        <v>45961</v>
      </c>
      <c r="I99" s="35">
        <v>0.22191780821917809</v>
      </c>
      <c r="J99" s="36">
        <v>100</v>
      </c>
      <c r="K99" s="37">
        <v>31.5</v>
      </c>
      <c r="L99" s="38">
        <v>1.5460317460317461</v>
      </c>
      <c r="M99" s="39">
        <v>152</v>
      </c>
      <c r="N99" s="40">
        <v>-1.6837782340862455E-2</v>
      </c>
      <c r="O99" s="82">
        <v>53140</v>
      </c>
      <c r="P99" s="41">
        <v>0.48325000000000001</v>
      </c>
      <c r="Q99" s="41">
        <v>0.47399999999999998</v>
      </c>
      <c r="R99" s="42" t="s">
        <v>27</v>
      </c>
      <c r="S99" s="43"/>
      <c r="T99" s="47"/>
      <c r="U99" s="45" t="str">
        <f t="shared" si="2"/>
        <v>萬泰科六</v>
      </c>
      <c r="V99" s="46">
        <v>3.0000000000000001E-3</v>
      </c>
    </row>
    <row r="100" spans="1:22" s="6" customFormat="1" ht="18" customHeight="1" x14ac:dyDescent="0.4">
      <c r="A100" s="31" t="s">
        <v>182</v>
      </c>
      <c r="B100" s="32">
        <v>61965</v>
      </c>
      <c r="C100" s="32" t="s">
        <v>61</v>
      </c>
      <c r="D100" s="33" t="s">
        <v>62</v>
      </c>
      <c r="E100" s="80">
        <v>2.58E-2</v>
      </c>
      <c r="F100" s="81">
        <v>2.5999999999999999E-2</v>
      </c>
      <c r="G100" s="34">
        <v>46188</v>
      </c>
      <c r="H100" s="34">
        <v>46200</v>
      </c>
      <c r="I100" s="35">
        <v>0.87671232876712324</v>
      </c>
      <c r="J100" s="36">
        <v>100</v>
      </c>
      <c r="K100" s="37">
        <v>130.69999999999999</v>
      </c>
      <c r="L100" s="38">
        <v>1.6755929609793421</v>
      </c>
      <c r="M100" s="39">
        <v>168</v>
      </c>
      <c r="N100" s="40">
        <v>2.6301369863013244E-3</v>
      </c>
      <c r="O100" s="82">
        <v>70580.000000000015</v>
      </c>
      <c r="P100" s="41">
        <v>0.51263999999999998</v>
      </c>
      <c r="Q100" s="41">
        <v>0.39400000000000002</v>
      </c>
      <c r="R100" s="42" t="s">
        <v>27</v>
      </c>
      <c r="S100" s="43"/>
      <c r="T100" s="47"/>
      <c r="U100" s="45" t="str">
        <f t="shared" si="2"/>
        <v>帆宣五</v>
      </c>
      <c r="V100" s="46">
        <v>3.0000000000000001E-3</v>
      </c>
    </row>
    <row r="101" spans="1:22" s="6" customFormat="1" ht="17.149999999999999" customHeight="1" x14ac:dyDescent="0.4">
      <c r="A101" s="31" t="s">
        <v>183</v>
      </c>
      <c r="B101" s="32">
        <v>61973</v>
      </c>
      <c r="C101" s="32" t="s">
        <v>61</v>
      </c>
      <c r="D101" s="33" t="s">
        <v>80</v>
      </c>
      <c r="E101" s="80">
        <v>7.060000000000001E-2</v>
      </c>
      <c r="F101" s="81">
        <v>3.1E-2</v>
      </c>
      <c r="G101" s="34">
        <v>46661</v>
      </c>
      <c r="H101" s="34">
        <v>46675</v>
      </c>
      <c r="I101" s="35">
        <v>2.1780821917808217</v>
      </c>
      <c r="J101" s="36">
        <v>100</v>
      </c>
      <c r="K101" s="37">
        <v>152</v>
      </c>
      <c r="L101" s="38">
        <v>1.0098684210526316</v>
      </c>
      <c r="M101" s="39">
        <v>116</v>
      </c>
      <c r="N101" s="40">
        <v>0.14866449511400645</v>
      </c>
      <c r="O101" s="82">
        <v>23060.000000000004</v>
      </c>
      <c r="P101" s="41">
        <v>1</v>
      </c>
      <c r="Q101" s="41">
        <v>0.40600000000000003</v>
      </c>
      <c r="R101" s="42" t="s">
        <v>27</v>
      </c>
      <c r="S101" s="43"/>
      <c r="T101" s="47"/>
      <c r="U101" s="45" t="str">
        <f t="shared" si="2"/>
        <v>佳必琪三</v>
      </c>
      <c r="V101" s="46">
        <v>3.0000000000000001E-3</v>
      </c>
    </row>
    <row r="102" spans="1:22" s="6" customFormat="1" ht="17.149999999999999" customHeight="1" x14ac:dyDescent="0.4">
      <c r="A102" s="31" t="s">
        <v>184</v>
      </c>
      <c r="B102" s="32">
        <v>62235</v>
      </c>
      <c r="C102" s="32" t="s">
        <v>61</v>
      </c>
      <c r="D102" s="33" t="s">
        <v>62</v>
      </c>
      <c r="E102" s="80">
        <v>6.8100000000000008E-2</v>
      </c>
      <c r="F102" s="81">
        <v>2.7E-2</v>
      </c>
      <c r="G102" s="34">
        <v>46748</v>
      </c>
      <c r="H102" s="34">
        <v>46760</v>
      </c>
      <c r="I102" s="35">
        <v>2.4109589041095889</v>
      </c>
      <c r="J102" s="36">
        <v>100</v>
      </c>
      <c r="K102" s="37">
        <v>913.4</v>
      </c>
      <c r="L102" s="38">
        <v>1.2645062404204073</v>
      </c>
      <c r="M102" s="39">
        <v>136</v>
      </c>
      <c r="N102" s="40">
        <v>7.5518614718614693E-2</v>
      </c>
      <c r="O102" s="82">
        <v>42810</v>
      </c>
      <c r="P102" s="41">
        <v>0.99997142857142862</v>
      </c>
      <c r="Q102" s="41">
        <v>0.52200000000000002</v>
      </c>
      <c r="R102" s="42" t="s">
        <v>27</v>
      </c>
      <c r="S102" s="43"/>
      <c r="T102" s="47"/>
      <c r="U102" s="45" t="str">
        <f t="shared" si="2"/>
        <v>旺矽五</v>
      </c>
      <c r="V102" s="46">
        <v>3.0000000000000001E-3</v>
      </c>
    </row>
    <row r="103" spans="1:22" s="6" customFormat="1" ht="17.149999999999999" customHeight="1" x14ac:dyDescent="0.4">
      <c r="A103" s="31" t="s">
        <v>185</v>
      </c>
      <c r="B103" s="32">
        <v>62695</v>
      </c>
      <c r="C103" s="32" t="s">
        <v>61</v>
      </c>
      <c r="D103" s="33" t="s">
        <v>62</v>
      </c>
      <c r="E103" s="80">
        <v>7.22E-2</v>
      </c>
      <c r="F103" s="81">
        <v>3.5000000000000003E-2</v>
      </c>
      <c r="G103" s="34">
        <v>46587</v>
      </c>
      <c r="H103" s="34">
        <v>46601</v>
      </c>
      <c r="I103" s="35">
        <v>1.9753424657534246</v>
      </c>
      <c r="J103" s="36">
        <v>100</v>
      </c>
      <c r="K103" s="37">
        <v>93</v>
      </c>
      <c r="L103" s="38">
        <v>0.66236559139784945</v>
      </c>
      <c r="M103" s="39">
        <v>104.5</v>
      </c>
      <c r="N103" s="40">
        <v>0.57767857142857149</v>
      </c>
      <c r="O103" s="82">
        <v>11720</v>
      </c>
      <c r="P103" s="41">
        <v>1</v>
      </c>
      <c r="Q103" s="41">
        <v>0.42599999999999999</v>
      </c>
      <c r="R103" s="42" t="s">
        <v>26</v>
      </c>
      <c r="S103" s="43"/>
      <c r="T103" s="47"/>
      <c r="U103" s="45" t="str">
        <f t="shared" si="2"/>
        <v>台郡五</v>
      </c>
      <c r="V103" s="46">
        <v>3.0000000000000001E-3</v>
      </c>
    </row>
    <row r="104" spans="1:22" s="6" customFormat="1" ht="17.149999999999999" customHeight="1" x14ac:dyDescent="0.4">
      <c r="A104" s="31" t="s">
        <v>186</v>
      </c>
      <c r="B104" s="32">
        <v>62696</v>
      </c>
      <c r="C104" s="32" t="s">
        <v>61</v>
      </c>
      <c r="D104" s="33" t="s">
        <v>62</v>
      </c>
      <c r="E104" s="80">
        <v>7.22E-2</v>
      </c>
      <c r="F104" s="81">
        <v>3.5000000000000003E-2</v>
      </c>
      <c r="G104" s="34">
        <v>46587</v>
      </c>
      <c r="H104" s="34">
        <v>46601</v>
      </c>
      <c r="I104" s="35">
        <v>1.9753424657534246</v>
      </c>
      <c r="J104" s="36">
        <v>100</v>
      </c>
      <c r="K104" s="37">
        <v>101</v>
      </c>
      <c r="L104" s="38">
        <v>0.60990099009900989</v>
      </c>
      <c r="M104" s="39">
        <v>101.3</v>
      </c>
      <c r="N104" s="40">
        <v>0.66092532467532472</v>
      </c>
      <c r="O104" s="82">
        <v>8519.9999999999964</v>
      </c>
      <c r="P104" s="41">
        <v>1</v>
      </c>
      <c r="Q104" s="41">
        <v>0.42599999999999999</v>
      </c>
      <c r="R104" s="42" t="s">
        <v>26</v>
      </c>
      <c r="S104" s="43"/>
      <c r="T104" s="47"/>
      <c r="U104" s="45" t="str">
        <f t="shared" ref="U104:U134" si="3">A104</f>
        <v>台郡六</v>
      </c>
      <c r="V104" s="46">
        <v>3.0000000000000001E-3</v>
      </c>
    </row>
    <row r="105" spans="1:22" s="6" customFormat="1" ht="17.149999999999999" customHeight="1" x14ac:dyDescent="0.4">
      <c r="A105" s="31" t="s">
        <v>187</v>
      </c>
      <c r="B105" s="32">
        <v>62843</v>
      </c>
      <c r="C105" s="32" t="s">
        <v>61</v>
      </c>
      <c r="D105" s="33" t="s">
        <v>62</v>
      </c>
      <c r="E105" s="80">
        <v>1.2299999999999998E-2</v>
      </c>
      <c r="F105" s="81">
        <v>2.7E-2</v>
      </c>
      <c r="G105" s="34">
        <v>45992</v>
      </c>
      <c r="H105" s="34">
        <v>46005</v>
      </c>
      <c r="I105" s="35">
        <v>0.34246575342465752</v>
      </c>
      <c r="J105" s="36">
        <v>100</v>
      </c>
      <c r="K105" s="37">
        <v>86.6</v>
      </c>
      <c r="L105" s="38">
        <v>0.73556581986143199</v>
      </c>
      <c r="M105" s="39">
        <v>106.05</v>
      </c>
      <c r="N105" s="40">
        <v>0.44174725274725246</v>
      </c>
      <c r="O105" s="82">
        <v>7279.9999999999973</v>
      </c>
      <c r="P105" s="41">
        <v>1</v>
      </c>
      <c r="Q105" s="41">
        <v>0.185</v>
      </c>
      <c r="R105" s="42" t="s">
        <v>26</v>
      </c>
      <c r="S105" s="43"/>
      <c r="T105" s="47"/>
      <c r="U105" s="45" t="str">
        <f t="shared" si="3"/>
        <v>佳邦三</v>
      </c>
      <c r="V105" s="46">
        <v>3.0000000000000001E-3</v>
      </c>
    </row>
    <row r="106" spans="1:22" s="6" customFormat="1" ht="17.149999999999999" customHeight="1" x14ac:dyDescent="0.4">
      <c r="A106" s="31" t="s">
        <v>188</v>
      </c>
      <c r="B106" s="32">
        <v>629010</v>
      </c>
      <c r="C106" s="32" t="s">
        <v>61</v>
      </c>
      <c r="D106" s="33" t="s">
        <v>80</v>
      </c>
      <c r="E106" s="80">
        <v>5.5000000000000007E-2</v>
      </c>
      <c r="F106" s="81">
        <v>3.2500000000000001E-2</v>
      </c>
      <c r="G106" s="34">
        <v>46506</v>
      </c>
      <c r="H106" s="34">
        <v>46520</v>
      </c>
      <c r="I106" s="35">
        <v>1.7534246575342465</v>
      </c>
      <c r="J106" s="36">
        <v>100.500625</v>
      </c>
      <c r="K106" s="37">
        <v>75.900000000000006</v>
      </c>
      <c r="L106" s="38">
        <v>1.4295125164690381</v>
      </c>
      <c r="M106" s="39">
        <v>143.30000000000001</v>
      </c>
      <c r="N106" s="40">
        <v>2.4396313364056627E-3</v>
      </c>
      <c r="O106" s="82">
        <v>48800.000000000007</v>
      </c>
      <c r="P106" s="41">
        <v>1</v>
      </c>
      <c r="Q106" s="41">
        <v>0.47699999999999998</v>
      </c>
      <c r="R106" s="42" t="s">
        <v>27</v>
      </c>
      <c r="S106" s="43"/>
      <c r="T106" s="47"/>
      <c r="U106" s="45" t="str">
        <f t="shared" si="3"/>
        <v>良維十</v>
      </c>
      <c r="V106" s="46">
        <v>3.0000000000000001E-3</v>
      </c>
    </row>
    <row r="107" spans="1:22" s="6" customFormat="1" ht="17.149999999999999" customHeight="1" x14ac:dyDescent="0.4">
      <c r="A107" s="31" t="s">
        <v>189</v>
      </c>
      <c r="B107" s="32">
        <v>64145</v>
      </c>
      <c r="C107" s="32" t="s">
        <v>61</v>
      </c>
      <c r="D107" s="33" t="s">
        <v>62</v>
      </c>
      <c r="E107" s="80">
        <v>2.9399999999999999E-2</v>
      </c>
      <c r="F107" s="81">
        <v>2.5999999999999999E-2</v>
      </c>
      <c r="G107" s="34">
        <v>46237</v>
      </c>
      <c r="H107" s="34">
        <v>46250</v>
      </c>
      <c r="I107" s="35">
        <v>1.0136986301369864</v>
      </c>
      <c r="J107" s="36">
        <v>100</v>
      </c>
      <c r="K107" s="37">
        <v>273.60000000000002</v>
      </c>
      <c r="L107" s="38">
        <v>1.1549707602339181</v>
      </c>
      <c r="M107" s="39">
        <v>119.55</v>
      </c>
      <c r="N107" s="40">
        <v>3.5091139240506303E-2</v>
      </c>
      <c r="O107" s="82">
        <v>22490</v>
      </c>
      <c r="P107" s="41">
        <v>0.99990000000000001</v>
      </c>
      <c r="Q107" s="41">
        <v>0.189</v>
      </c>
      <c r="R107" s="42" t="s">
        <v>27</v>
      </c>
      <c r="S107" s="43"/>
      <c r="T107" s="47"/>
      <c r="U107" s="45" t="str">
        <f t="shared" si="3"/>
        <v>樺漢五</v>
      </c>
      <c r="V107" s="46">
        <v>3.0000000000000001E-3</v>
      </c>
    </row>
    <row r="108" spans="1:22" s="6" customFormat="1" ht="17.149999999999999" customHeight="1" x14ac:dyDescent="0.4">
      <c r="A108" s="31" t="s">
        <v>190</v>
      </c>
      <c r="B108" s="32">
        <v>64251</v>
      </c>
      <c r="C108" s="32" t="s">
        <v>191</v>
      </c>
      <c r="D108" s="33" t="s">
        <v>65</v>
      </c>
      <c r="E108" s="80">
        <v>5.3100000000000008E-2</v>
      </c>
      <c r="F108" s="81">
        <v>2.3E-2</v>
      </c>
      <c r="G108" s="34">
        <v>46661</v>
      </c>
      <c r="H108" s="34">
        <v>46675</v>
      </c>
      <c r="I108" s="35">
        <v>2.1780821917808217</v>
      </c>
      <c r="J108" s="36">
        <v>100</v>
      </c>
      <c r="K108" s="37">
        <v>58.7</v>
      </c>
      <c r="L108" s="38">
        <v>0.98807495741056217</v>
      </c>
      <c r="M108" s="39">
        <v>144.5</v>
      </c>
      <c r="N108" s="40">
        <v>0.46243965517241387</v>
      </c>
      <c r="O108" s="82">
        <v>49810</v>
      </c>
      <c r="P108" s="41">
        <v>1</v>
      </c>
      <c r="Q108" s="41">
        <v>0.64500000000000002</v>
      </c>
      <c r="R108" s="42" t="s">
        <v>26</v>
      </c>
      <c r="S108" s="43"/>
      <c r="T108" s="47"/>
      <c r="U108" s="45" t="str">
        <f t="shared" si="3"/>
        <v>易發一</v>
      </c>
      <c r="V108" s="46">
        <v>3.0000000000000001E-3</v>
      </c>
    </row>
    <row r="109" spans="1:22" s="6" customFormat="1" ht="17.25" customHeight="1" x14ac:dyDescent="0.4">
      <c r="A109" s="31" t="s">
        <v>192</v>
      </c>
      <c r="B109" s="32">
        <v>64421</v>
      </c>
      <c r="C109" s="32" t="s">
        <v>61</v>
      </c>
      <c r="D109" s="33" t="s">
        <v>80</v>
      </c>
      <c r="E109" s="80">
        <v>0.05</v>
      </c>
      <c r="F109" s="81">
        <v>3.7499999999999999E-2</v>
      </c>
      <c r="G109" s="34">
        <v>46323</v>
      </c>
      <c r="H109" s="34">
        <v>46337</v>
      </c>
      <c r="I109" s="35">
        <v>1.252054794520548</v>
      </c>
      <c r="J109" s="36">
        <v>100</v>
      </c>
      <c r="K109" s="37">
        <v>482.3</v>
      </c>
      <c r="L109" s="38">
        <v>1.2689197594857973</v>
      </c>
      <c r="M109" s="39">
        <v>133</v>
      </c>
      <c r="N109" s="40">
        <v>4.8135620915032637E-2</v>
      </c>
      <c r="O109" s="82">
        <v>38000</v>
      </c>
      <c r="P109" s="41">
        <v>0.99990000000000001</v>
      </c>
      <c r="Q109" s="41">
        <v>0.60399999999999998</v>
      </c>
      <c r="R109" s="42" t="s">
        <v>27</v>
      </c>
      <c r="S109" s="43"/>
      <c r="T109" s="47"/>
      <c r="U109" s="45" t="str">
        <f t="shared" si="3"/>
        <v>光聖一</v>
      </c>
      <c r="V109" s="46">
        <v>3.0000000000000001E-3</v>
      </c>
    </row>
    <row r="110" spans="1:22" s="6" customFormat="1" ht="17.25" customHeight="1" x14ac:dyDescent="0.4">
      <c r="A110" s="31" t="s">
        <v>34</v>
      </c>
      <c r="B110" s="32">
        <v>64693</v>
      </c>
      <c r="C110" s="32" t="s">
        <v>61</v>
      </c>
      <c r="D110" s="33" t="s">
        <v>62</v>
      </c>
      <c r="E110" s="80">
        <v>8.610000000000001E-2</v>
      </c>
      <c r="F110" s="81">
        <v>2.8000000000000001E-2</v>
      </c>
      <c r="G110" s="34">
        <v>46948</v>
      </c>
      <c r="H110" s="34">
        <v>46962</v>
      </c>
      <c r="I110" s="35">
        <v>2.9643835616438357</v>
      </c>
      <c r="J110" s="36">
        <v>100</v>
      </c>
      <c r="K110" s="37">
        <v>149.74</v>
      </c>
      <c r="L110" s="38">
        <v>1.0718578870041404</v>
      </c>
      <c r="M110" s="39">
        <v>115.5</v>
      </c>
      <c r="N110" s="40">
        <v>7.7568224299065569E-2</v>
      </c>
      <c r="O110" s="82">
        <v>24110</v>
      </c>
      <c r="P110" s="41">
        <v>1</v>
      </c>
      <c r="Q110" s="41">
        <v>0.374</v>
      </c>
      <c r="R110" s="42" t="s">
        <v>27</v>
      </c>
      <c r="S110" s="43" t="s">
        <v>28</v>
      </c>
      <c r="T110" s="47" t="s">
        <v>35</v>
      </c>
      <c r="U110" s="45" t="str">
        <f t="shared" si="3"/>
        <v>大樹三</v>
      </c>
      <c r="V110" s="46">
        <v>3.0000000000000001E-3</v>
      </c>
    </row>
    <row r="111" spans="1:22" s="6" customFormat="1" ht="17.25" customHeight="1" x14ac:dyDescent="0.4">
      <c r="A111" s="31" t="s">
        <v>193</v>
      </c>
      <c r="B111" s="32">
        <v>64723</v>
      </c>
      <c r="C111" s="32" t="s">
        <v>61</v>
      </c>
      <c r="D111" s="33" t="s">
        <v>80</v>
      </c>
      <c r="E111" s="80">
        <v>3.9700000000000006E-2</v>
      </c>
      <c r="F111" s="81">
        <v>4.4999999999999998E-2</v>
      </c>
      <c r="G111" s="34">
        <v>46224</v>
      </c>
      <c r="H111" s="34">
        <v>46238</v>
      </c>
      <c r="I111" s="35">
        <v>0.98082191780821915</v>
      </c>
      <c r="J111" s="36">
        <v>100.75190000000001</v>
      </c>
      <c r="K111" s="37">
        <v>597.4</v>
      </c>
      <c r="L111" s="38">
        <v>1.2002008704385672</v>
      </c>
      <c r="M111" s="39">
        <v>150</v>
      </c>
      <c r="N111" s="40">
        <v>0.24979079497907944</v>
      </c>
      <c r="O111" s="82">
        <v>53969.999999999993</v>
      </c>
      <c r="P111" s="41">
        <v>0.80617647058823527</v>
      </c>
      <c r="Q111" s="41">
        <v>0.32800000000000001</v>
      </c>
      <c r="R111" s="42" t="s">
        <v>27</v>
      </c>
      <c r="S111" s="43"/>
      <c r="T111" s="44"/>
      <c r="U111" s="45" t="str">
        <f t="shared" si="3"/>
        <v>保瑞三</v>
      </c>
      <c r="V111" s="46">
        <v>3.0000000000000001E-3</v>
      </c>
    </row>
    <row r="112" spans="1:22" s="6" customFormat="1" ht="17.25" customHeight="1" x14ac:dyDescent="0.4">
      <c r="A112" s="31" t="s">
        <v>194</v>
      </c>
      <c r="B112" s="32">
        <v>65521</v>
      </c>
      <c r="C112" s="32" t="s">
        <v>128</v>
      </c>
      <c r="D112" s="33" t="s">
        <v>74</v>
      </c>
      <c r="E112" s="80">
        <v>3.0799999999999998E-2</v>
      </c>
      <c r="F112" s="81">
        <v>2.3E-2</v>
      </c>
      <c r="G112" s="34">
        <v>46307</v>
      </c>
      <c r="H112" s="34">
        <v>46320</v>
      </c>
      <c r="I112" s="35">
        <v>1.2054794520547945</v>
      </c>
      <c r="J112" s="36">
        <v>100</v>
      </c>
      <c r="K112" s="37">
        <v>59.2</v>
      </c>
      <c r="L112" s="38">
        <v>0.4442567567567568</v>
      </c>
      <c r="M112" s="39">
        <v>98.9</v>
      </c>
      <c r="N112" s="40">
        <v>1.226190114068441</v>
      </c>
      <c r="O112" s="82">
        <v>1980.0000000000055</v>
      </c>
      <c r="P112" s="41">
        <v>1</v>
      </c>
      <c r="Q112" s="41">
        <v>0.377</v>
      </c>
      <c r="R112" s="42" t="s">
        <v>26</v>
      </c>
      <c r="S112" s="43"/>
      <c r="T112" s="44"/>
      <c r="U112" s="45" t="str">
        <f t="shared" si="3"/>
        <v>易華電一</v>
      </c>
      <c r="V112" s="46">
        <v>3.0000000000000001E-3</v>
      </c>
    </row>
    <row r="113" spans="1:22" s="6" customFormat="1" ht="17.25" customHeight="1" x14ac:dyDescent="0.4">
      <c r="A113" s="31" t="s">
        <v>36</v>
      </c>
      <c r="B113" s="32">
        <v>65841</v>
      </c>
      <c r="C113" s="32" t="s">
        <v>156</v>
      </c>
      <c r="D113" s="33" t="s">
        <v>71</v>
      </c>
      <c r="E113" s="80">
        <v>2.0999999999999998E-2</v>
      </c>
      <c r="F113" s="81">
        <v>2.3E-2</v>
      </c>
      <c r="G113" s="34">
        <v>46310</v>
      </c>
      <c r="H113" s="34">
        <v>46324</v>
      </c>
      <c r="I113" s="35">
        <v>1.2164383561643837</v>
      </c>
      <c r="J113" s="36">
        <v>101.0025</v>
      </c>
      <c r="K113" s="37">
        <v>178.8</v>
      </c>
      <c r="L113" s="38">
        <v>1.1856823266219239</v>
      </c>
      <c r="M113" s="39">
        <v>124.5</v>
      </c>
      <c r="N113" s="40">
        <v>5.0028301886792519E-2</v>
      </c>
      <c r="O113" s="82">
        <v>26600</v>
      </c>
      <c r="P113" s="41">
        <v>0.99985714285714289</v>
      </c>
      <c r="Q113" s="41">
        <v>0.52600000000000002</v>
      </c>
      <c r="R113" s="42" t="s">
        <v>26</v>
      </c>
      <c r="S113" s="43"/>
      <c r="T113" s="44"/>
      <c r="U113" s="45" t="str">
        <f t="shared" si="3"/>
        <v>南俊國際一</v>
      </c>
      <c r="V113" s="46">
        <v>3.0000000000000001E-3</v>
      </c>
    </row>
    <row r="114" spans="1:22" s="6" customFormat="1" ht="17.25" customHeight="1" x14ac:dyDescent="0.4">
      <c r="A114" s="31" t="s">
        <v>195</v>
      </c>
      <c r="B114" s="32">
        <v>65851</v>
      </c>
      <c r="C114" s="32" t="s">
        <v>144</v>
      </c>
      <c r="D114" s="33" t="s">
        <v>80</v>
      </c>
      <c r="E114" s="80">
        <v>3.0799999999999998E-2</v>
      </c>
      <c r="F114" s="81">
        <v>2.3E-2</v>
      </c>
      <c r="G114" s="34">
        <v>46307</v>
      </c>
      <c r="H114" s="34">
        <v>46321</v>
      </c>
      <c r="I114" s="35">
        <v>1.2082191780821918</v>
      </c>
      <c r="J114" s="36">
        <v>100</v>
      </c>
      <c r="K114" s="37">
        <v>110.9</v>
      </c>
      <c r="L114" s="38">
        <v>0.84400360685302056</v>
      </c>
      <c r="M114" s="39">
        <v>106.5</v>
      </c>
      <c r="N114" s="40">
        <v>0.26184294871794889</v>
      </c>
      <c r="O114" s="82">
        <v>9580</v>
      </c>
      <c r="P114" s="41">
        <v>0.54620000000000002</v>
      </c>
      <c r="Q114" s="41">
        <v>0.34100000000000003</v>
      </c>
      <c r="R114" s="42" t="s">
        <v>26</v>
      </c>
      <c r="S114" s="43"/>
      <c r="T114" s="44"/>
      <c r="U114" s="45" t="str">
        <f t="shared" si="3"/>
        <v>鼎基一</v>
      </c>
      <c r="V114" s="46">
        <v>3.0000000000000001E-3</v>
      </c>
    </row>
    <row r="115" spans="1:22" s="6" customFormat="1" ht="17.25" customHeight="1" x14ac:dyDescent="0.4">
      <c r="A115" s="31" t="s">
        <v>196</v>
      </c>
      <c r="B115" s="32">
        <v>65096</v>
      </c>
      <c r="C115" s="32" t="s">
        <v>61</v>
      </c>
      <c r="D115" s="33" t="s">
        <v>80</v>
      </c>
      <c r="E115" s="80">
        <v>2.81E-2</v>
      </c>
      <c r="F115" s="81">
        <v>2.8000000000000001E-2</v>
      </c>
      <c r="G115" s="34">
        <v>46192</v>
      </c>
      <c r="H115" s="34">
        <v>46206</v>
      </c>
      <c r="I115" s="35">
        <v>0.89315068493150684</v>
      </c>
      <c r="J115" s="36">
        <v>100</v>
      </c>
      <c r="K115" s="37">
        <v>39.200000000000003</v>
      </c>
      <c r="L115" s="38">
        <v>0.83545918367346927</v>
      </c>
      <c r="M115" s="39">
        <v>106.75</v>
      </c>
      <c r="N115" s="40">
        <v>0.27774045801526731</v>
      </c>
      <c r="O115" s="82">
        <v>9560</v>
      </c>
      <c r="P115" s="41">
        <v>1</v>
      </c>
      <c r="Q115" s="41">
        <v>0.19600000000000001</v>
      </c>
      <c r="R115" s="42" t="s">
        <v>26</v>
      </c>
      <c r="S115" s="43"/>
      <c r="T115" s="44"/>
      <c r="U115" s="45" t="str">
        <f t="shared" si="3"/>
        <v>聚和六</v>
      </c>
      <c r="V115" s="46">
        <v>3.0000000000000001E-3</v>
      </c>
    </row>
    <row r="116" spans="1:22" s="6" customFormat="1" ht="17.25" customHeight="1" x14ac:dyDescent="0.4">
      <c r="A116" s="31" t="s">
        <v>197</v>
      </c>
      <c r="B116" s="32">
        <v>65931</v>
      </c>
      <c r="C116" s="32" t="s">
        <v>128</v>
      </c>
      <c r="D116" s="33" t="s">
        <v>71</v>
      </c>
      <c r="E116" s="80">
        <v>1.06E-2</v>
      </c>
      <c r="F116" s="81">
        <v>2.1999999999999999E-2</v>
      </c>
      <c r="G116" s="34">
        <v>45992</v>
      </c>
      <c r="H116" s="34">
        <v>46005</v>
      </c>
      <c r="I116" s="35">
        <v>0.34246575342465752</v>
      </c>
      <c r="J116" s="36">
        <v>100</v>
      </c>
      <c r="K116" s="37">
        <v>37.15</v>
      </c>
      <c r="L116" s="38">
        <v>1.4831763122476445</v>
      </c>
      <c r="M116" s="39">
        <v>298</v>
      </c>
      <c r="N116" s="40">
        <v>1.0092014519056263</v>
      </c>
      <c r="O116" s="82">
        <v>199060</v>
      </c>
      <c r="P116" s="41">
        <v>0.11600000000000001</v>
      </c>
      <c r="Q116" s="41">
        <v>0.3</v>
      </c>
      <c r="R116" s="42" t="s">
        <v>26</v>
      </c>
      <c r="S116" s="43"/>
      <c r="T116" s="44"/>
      <c r="U116" s="45" t="str">
        <f t="shared" si="3"/>
        <v>台灣銘板一</v>
      </c>
      <c r="V116" s="46">
        <v>3.0000000000000001E-3</v>
      </c>
    </row>
    <row r="117" spans="1:22" s="6" customFormat="1" ht="17.25" customHeight="1" x14ac:dyDescent="0.4">
      <c r="A117" s="31" t="s">
        <v>198</v>
      </c>
      <c r="B117" s="32">
        <v>66241</v>
      </c>
      <c r="C117" s="32" t="s">
        <v>119</v>
      </c>
      <c r="D117" s="33" t="s">
        <v>71</v>
      </c>
      <c r="E117" s="80">
        <v>3.9200000000000006E-2</v>
      </c>
      <c r="F117" s="81">
        <v>2.3E-2</v>
      </c>
      <c r="G117" s="34">
        <v>46559</v>
      </c>
      <c r="H117" s="34">
        <v>46573</v>
      </c>
      <c r="I117" s="35">
        <v>1.8986301369863015</v>
      </c>
      <c r="J117" s="36">
        <v>100.75</v>
      </c>
      <c r="K117" s="37">
        <v>40.6</v>
      </c>
      <c r="L117" s="38">
        <v>0.834975369458128</v>
      </c>
      <c r="M117" s="39">
        <v>105</v>
      </c>
      <c r="N117" s="40">
        <v>0.25752212389380547</v>
      </c>
      <c r="O117" s="82">
        <v>8920</v>
      </c>
      <c r="P117" s="41">
        <v>1</v>
      </c>
      <c r="Q117" s="41">
        <v>0.25600000000000001</v>
      </c>
      <c r="R117" s="42" t="s">
        <v>26</v>
      </c>
      <c r="S117" s="43"/>
      <c r="T117" s="44"/>
      <c r="U117" s="45" t="str">
        <f t="shared" si="3"/>
        <v>萬年清一</v>
      </c>
      <c r="V117" s="46">
        <v>3.0000000000000001E-3</v>
      </c>
    </row>
    <row r="118" spans="1:22" s="6" customFormat="1" ht="17.25" customHeight="1" x14ac:dyDescent="0.4">
      <c r="A118" s="31" t="s">
        <v>199</v>
      </c>
      <c r="B118" s="32">
        <v>67152</v>
      </c>
      <c r="C118" s="32" t="s">
        <v>61</v>
      </c>
      <c r="D118" s="33" t="s">
        <v>80</v>
      </c>
      <c r="E118" s="80">
        <v>4.6200000000000005E-2</v>
      </c>
      <c r="F118" s="81">
        <v>0.03</v>
      </c>
      <c r="G118" s="34">
        <v>46391</v>
      </c>
      <c r="H118" s="34">
        <v>46405</v>
      </c>
      <c r="I118" s="35">
        <v>1.4383561643835616</v>
      </c>
      <c r="J118" s="36">
        <v>100</v>
      </c>
      <c r="K118" s="37">
        <v>162.9</v>
      </c>
      <c r="L118" s="38">
        <v>0.6629834254143645</v>
      </c>
      <c r="M118" s="39">
        <v>105.45</v>
      </c>
      <c r="N118" s="40">
        <v>0.59053750000000027</v>
      </c>
      <c r="O118" s="82">
        <v>10070.000000000004</v>
      </c>
      <c r="P118" s="41">
        <v>1</v>
      </c>
      <c r="Q118" s="41">
        <v>0.29599999999999999</v>
      </c>
      <c r="R118" s="42" t="s">
        <v>27</v>
      </c>
      <c r="S118" s="43"/>
      <c r="T118" s="44"/>
      <c r="U118" s="45" t="str">
        <f t="shared" si="3"/>
        <v>嘉基二</v>
      </c>
      <c r="V118" s="46">
        <v>3.0000000000000001E-3</v>
      </c>
    </row>
    <row r="119" spans="1:22" s="6" customFormat="1" ht="17.25" customHeight="1" x14ac:dyDescent="0.4">
      <c r="A119" s="31" t="s">
        <v>200</v>
      </c>
      <c r="B119" s="32">
        <v>67531</v>
      </c>
      <c r="C119" s="32" t="s">
        <v>61</v>
      </c>
      <c r="D119" s="33" t="s">
        <v>80</v>
      </c>
      <c r="E119" s="80">
        <v>7.7900000000000011E-2</v>
      </c>
      <c r="F119" s="81">
        <v>0.04</v>
      </c>
      <c r="G119" s="34">
        <v>46549</v>
      </c>
      <c r="H119" s="34">
        <v>46563</v>
      </c>
      <c r="I119" s="35">
        <v>1.8712328767123287</v>
      </c>
      <c r="J119" s="36">
        <v>100</v>
      </c>
      <c r="K119" s="37">
        <v>117.9</v>
      </c>
      <c r="L119" s="38">
        <v>0.92027141645462252</v>
      </c>
      <c r="M119" s="39">
        <v>110.15</v>
      </c>
      <c r="N119" s="40">
        <v>0.19692949308755772</v>
      </c>
      <c r="O119" s="82">
        <v>17940.000000000007</v>
      </c>
      <c r="P119" s="41">
        <v>1</v>
      </c>
      <c r="Q119" s="41">
        <v>0.34599999999999997</v>
      </c>
      <c r="R119" s="42" t="s">
        <v>27</v>
      </c>
      <c r="S119" s="43"/>
      <c r="T119" s="44"/>
      <c r="U119" s="45" t="str">
        <f t="shared" si="3"/>
        <v>龍德造船一</v>
      </c>
      <c r="V119" s="46">
        <v>3.0000000000000001E-3</v>
      </c>
    </row>
    <row r="120" spans="1:22" s="6" customFormat="1" ht="17.25" customHeight="1" x14ac:dyDescent="0.4">
      <c r="A120" s="31" t="s">
        <v>201</v>
      </c>
      <c r="B120" s="32">
        <v>67681</v>
      </c>
      <c r="C120" s="32" t="s">
        <v>61</v>
      </c>
      <c r="D120" s="33" t="s">
        <v>62</v>
      </c>
      <c r="E120" s="80">
        <v>9.1900000000000009E-2</v>
      </c>
      <c r="F120" s="81">
        <v>0.04</v>
      </c>
      <c r="G120" s="34">
        <v>46678</v>
      </c>
      <c r="H120" s="34">
        <v>46691</v>
      </c>
      <c r="I120" s="35">
        <v>2.2219178082191782</v>
      </c>
      <c r="J120" s="36">
        <v>100</v>
      </c>
      <c r="K120" s="37">
        <v>95.2</v>
      </c>
      <c r="L120" s="38">
        <v>1.171218487394958</v>
      </c>
      <c r="M120" s="39">
        <v>121</v>
      </c>
      <c r="N120" s="40">
        <v>3.3112107623318343E-2</v>
      </c>
      <c r="O120" s="82">
        <v>30190</v>
      </c>
      <c r="P120" s="41">
        <v>0.59099999999999997</v>
      </c>
      <c r="Q120" s="41">
        <v>0.28499999999999998</v>
      </c>
      <c r="R120" s="42" t="s">
        <v>27</v>
      </c>
      <c r="S120" s="43"/>
      <c r="T120" s="44"/>
      <c r="U120" s="45" t="str">
        <f t="shared" si="3"/>
        <v>志強一KY</v>
      </c>
      <c r="V120" s="46">
        <v>3.0000000000000001E-3</v>
      </c>
    </row>
    <row r="121" spans="1:22" s="6" customFormat="1" ht="17.25" customHeight="1" x14ac:dyDescent="0.4">
      <c r="A121" s="31" t="s">
        <v>202</v>
      </c>
      <c r="B121" s="32">
        <v>67711</v>
      </c>
      <c r="C121" s="32" t="s">
        <v>164</v>
      </c>
      <c r="D121" s="33" t="s">
        <v>74</v>
      </c>
      <c r="E121" s="80">
        <v>3.3000000000000002E-2</v>
      </c>
      <c r="F121" s="81">
        <v>2.3E-2</v>
      </c>
      <c r="G121" s="34">
        <v>46503</v>
      </c>
      <c r="H121" s="34">
        <v>46515</v>
      </c>
      <c r="I121" s="35">
        <v>1.7397260273972603</v>
      </c>
      <c r="J121" s="36">
        <v>101.0025</v>
      </c>
      <c r="K121" s="37">
        <v>51.66</v>
      </c>
      <c r="L121" s="38">
        <v>1.0607820363917926</v>
      </c>
      <c r="M121" s="39">
        <v>109.5</v>
      </c>
      <c r="N121" s="40">
        <v>3.2257299270072842E-2</v>
      </c>
      <c r="O121" s="82">
        <v>12800</v>
      </c>
      <c r="P121" s="41">
        <v>1</v>
      </c>
      <c r="Q121" s="41">
        <v>0.14099999999999999</v>
      </c>
      <c r="R121" s="42" t="s">
        <v>26</v>
      </c>
      <c r="S121" s="43"/>
      <c r="T121" s="44"/>
      <c r="U121" s="45" t="str">
        <f t="shared" si="3"/>
        <v>平和環保一創</v>
      </c>
      <c r="V121" s="46">
        <v>3.0000000000000001E-3</v>
      </c>
    </row>
    <row r="122" spans="1:22" s="6" customFormat="1" ht="17.25" customHeight="1" x14ac:dyDescent="0.4">
      <c r="A122" s="31" t="s">
        <v>203</v>
      </c>
      <c r="B122" s="32">
        <v>68061</v>
      </c>
      <c r="C122" s="32" t="s">
        <v>204</v>
      </c>
      <c r="D122" s="33" t="s">
        <v>71</v>
      </c>
      <c r="E122" s="80">
        <v>3.2500000000000001E-2</v>
      </c>
      <c r="F122" s="81">
        <v>2.3E-2</v>
      </c>
      <c r="G122" s="34">
        <v>46335</v>
      </c>
      <c r="H122" s="34">
        <v>46348</v>
      </c>
      <c r="I122" s="35">
        <v>1.2821917808219179</v>
      </c>
      <c r="J122" s="36">
        <v>100</v>
      </c>
      <c r="K122" s="37">
        <v>106.6</v>
      </c>
      <c r="L122" s="38">
        <v>0.75984990619136961</v>
      </c>
      <c r="M122" s="39">
        <v>104.65</v>
      </c>
      <c r="N122" s="40">
        <v>0.37724567901234568</v>
      </c>
      <c r="O122" s="82">
        <v>7900.0000000000055</v>
      </c>
      <c r="P122" s="41">
        <v>0.67726666666666668</v>
      </c>
      <c r="Q122" s="41">
        <v>0.435</v>
      </c>
      <c r="R122" s="42" t="s">
        <v>26</v>
      </c>
      <c r="S122" s="43"/>
      <c r="T122" s="44"/>
      <c r="U122" s="45" t="str">
        <f t="shared" si="3"/>
        <v>森崴能源一</v>
      </c>
      <c r="V122" s="46">
        <v>3.0000000000000001E-3</v>
      </c>
    </row>
    <row r="123" spans="1:22" s="6" customFormat="1" ht="17.25" customHeight="1" x14ac:dyDescent="0.4">
      <c r="A123" s="31" t="s">
        <v>205</v>
      </c>
      <c r="B123" s="32">
        <v>68701</v>
      </c>
      <c r="C123" s="32" t="s">
        <v>61</v>
      </c>
      <c r="D123" s="33" t="s">
        <v>74</v>
      </c>
      <c r="E123" s="80">
        <v>0.10740000000000001</v>
      </c>
      <c r="F123" s="81">
        <v>4.4999999999999998E-2</v>
      </c>
      <c r="G123" s="34">
        <v>46713</v>
      </c>
      <c r="H123" s="34">
        <v>46726</v>
      </c>
      <c r="I123" s="35">
        <v>2.3178082191780822</v>
      </c>
      <c r="J123" s="36">
        <v>100</v>
      </c>
      <c r="K123" s="37">
        <v>243</v>
      </c>
      <c r="L123" s="38">
        <v>0.82098765432098764</v>
      </c>
      <c r="M123" s="39">
        <v>100.05</v>
      </c>
      <c r="N123" s="40">
        <v>0.21865413533834593</v>
      </c>
      <c r="O123" s="82">
        <v>10789.999999999998</v>
      </c>
      <c r="P123" s="41">
        <v>1</v>
      </c>
      <c r="Q123" s="41">
        <v>0.25800000000000001</v>
      </c>
      <c r="R123" s="42" t="s">
        <v>27</v>
      </c>
      <c r="S123" s="43"/>
      <c r="T123" s="44"/>
      <c r="U123" s="45" t="str">
        <f t="shared" si="3"/>
        <v>騰雲一</v>
      </c>
      <c r="V123" s="46">
        <v>3.0000000000000001E-3</v>
      </c>
    </row>
    <row r="124" spans="1:22" s="6" customFormat="1" ht="17.25" customHeight="1" x14ac:dyDescent="0.4">
      <c r="A124" s="31" t="s">
        <v>206</v>
      </c>
      <c r="B124" s="32">
        <v>68702</v>
      </c>
      <c r="C124" s="32" t="s">
        <v>61</v>
      </c>
      <c r="D124" s="33" t="s">
        <v>74</v>
      </c>
      <c r="E124" s="80">
        <v>0.10740000000000001</v>
      </c>
      <c r="F124" s="81">
        <v>4.4999999999999998E-2</v>
      </c>
      <c r="G124" s="34">
        <v>46713</v>
      </c>
      <c r="H124" s="34">
        <v>46726</v>
      </c>
      <c r="I124" s="35">
        <v>2.3178082191780822</v>
      </c>
      <c r="J124" s="36">
        <v>100</v>
      </c>
      <c r="K124" s="37">
        <v>231.4</v>
      </c>
      <c r="L124" s="38">
        <v>0.86214347450302509</v>
      </c>
      <c r="M124" s="39">
        <v>108.5</v>
      </c>
      <c r="N124" s="40">
        <v>0.25849122807017538</v>
      </c>
      <c r="O124" s="82">
        <v>19240</v>
      </c>
      <c r="P124" s="41">
        <v>1</v>
      </c>
      <c r="Q124" s="41">
        <v>0.25800000000000001</v>
      </c>
      <c r="R124" s="42" t="s">
        <v>27</v>
      </c>
      <c r="S124" s="43"/>
      <c r="T124" s="44"/>
      <c r="U124" s="45" t="str">
        <f t="shared" si="3"/>
        <v>騰雲二</v>
      </c>
      <c r="V124" s="46">
        <v>3.0000000000000001E-3</v>
      </c>
    </row>
    <row r="125" spans="1:22" s="6" customFormat="1" ht="17" customHeight="1" x14ac:dyDescent="0.4">
      <c r="A125" s="31" t="s">
        <v>207</v>
      </c>
      <c r="B125" s="32">
        <v>68301</v>
      </c>
      <c r="C125" s="32" t="s">
        <v>61</v>
      </c>
      <c r="D125" s="33" t="s">
        <v>80</v>
      </c>
      <c r="E125" s="80">
        <v>3.5900000000000008E-2</v>
      </c>
      <c r="F125" s="81">
        <v>3.2500000000000001E-2</v>
      </c>
      <c r="G125" s="34">
        <v>46237</v>
      </c>
      <c r="H125" s="34">
        <v>46249</v>
      </c>
      <c r="I125" s="35">
        <v>1.010958904109589</v>
      </c>
      <c r="J125" s="36">
        <v>100</v>
      </c>
      <c r="K125" s="37">
        <v>147.80000000000001</v>
      </c>
      <c r="L125" s="38">
        <v>1.0216508795669823</v>
      </c>
      <c r="M125" s="39">
        <v>118.45</v>
      </c>
      <c r="N125" s="40">
        <v>0.15939801324503328</v>
      </c>
      <c r="O125" s="82">
        <v>22040.000000000004</v>
      </c>
      <c r="P125" s="41">
        <v>0.99980000000000002</v>
      </c>
      <c r="Q125" s="41">
        <v>0.54200000000000004</v>
      </c>
      <c r="R125" s="42" t="s">
        <v>27</v>
      </c>
      <c r="S125" s="43"/>
      <c r="T125" s="44"/>
      <c r="U125" s="45" t="str">
        <f t="shared" si="3"/>
        <v>汎銓一</v>
      </c>
      <c r="V125" s="46">
        <v>3.0000000000000001E-3</v>
      </c>
    </row>
    <row r="126" spans="1:22" s="6" customFormat="1" ht="17.25" customHeight="1" x14ac:dyDescent="0.4">
      <c r="A126" s="31" t="s">
        <v>208</v>
      </c>
      <c r="B126" s="32">
        <v>68541</v>
      </c>
      <c r="C126" s="32" t="s">
        <v>209</v>
      </c>
      <c r="D126" s="33" t="s">
        <v>71</v>
      </c>
      <c r="E126" s="80">
        <v>2.8599999999999997E-2</v>
      </c>
      <c r="F126" s="81">
        <v>2.3E-2</v>
      </c>
      <c r="G126" s="34">
        <v>46433</v>
      </c>
      <c r="H126" s="34">
        <v>46445</v>
      </c>
      <c r="I126" s="35">
        <v>1.547945205479452</v>
      </c>
      <c r="J126" s="36">
        <v>101.0025</v>
      </c>
      <c r="K126" s="37">
        <v>248.3</v>
      </c>
      <c r="L126" s="38">
        <v>0.57390253725332252</v>
      </c>
      <c r="M126" s="39">
        <v>105</v>
      </c>
      <c r="N126" s="40">
        <v>0.8295789473684213</v>
      </c>
      <c r="O126" s="82">
        <v>7860</v>
      </c>
      <c r="P126" s="41">
        <v>1</v>
      </c>
      <c r="Q126" s="41">
        <v>0.29299999999999998</v>
      </c>
      <c r="R126" s="42" t="s">
        <v>26</v>
      </c>
      <c r="S126" s="43"/>
      <c r="T126" s="47"/>
      <c r="U126" s="45" t="str">
        <f t="shared" si="3"/>
        <v>錼創科技一KY創</v>
      </c>
      <c r="V126" s="46">
        <v>3.0000000000000001E-3</v>
      </c>
    </row>
    <row r="127" spans="1:22" s="6" customFormat="1" ht="17.25" customHeight="1" x14ac:dyDescent="0.4">
      <c r="A127" s="31" t="s">
        <v>210</v>
      </c>
      <c r="B127" s="32">
        <v>81551</v>
      </c>
      <c r="C127" s="32" t="s">
        <v>61</v>
      </c>
      <c r="D127" s="33" t="s">
        <v>62</v>
      </c>
      <c r="E127" s="80">
        <v>6.3500000000000001E-2</v>
      </c>
      <c r="F127" s="81">
        <v>2.5000000000000001E-2</v>
      </c>
      <c r="G127" s="34">
        <v>46748</v>
      </c>
      <c r="H127" s="34">
        <v>46762</v>
      </c>
      <c r="I127" s="35">
        <v>2.4164383561643836</v>
      </c>
      <c r="J127" s="36">
        <v>100</v>
      </c>
      <c r="K127" s="37">
        <v>121.6</v>
      </c>
      <c r="L127" s="38">
        <v>1.0238486842105263</v>
      </c>
      <c r="M127" s="39">
        <v>118</v>
      </c>
      <c r="N127" s="40">
        <v>0.15251405622489961</v>
      </c>
      <c r="O127" s="82">
        <v>24350</v>
      </c>
      <c r="P127" s="41">
        <v>1</v>
      </c>
      <c r="Q127" s="41">
        <v>0.35499999999999998</v>
      </c>
      <c r="R127" s="42" t="s">
        <v>27</v>
      </c>
      <c r="S127" s="43"/>
      <c r="T127" s="44"/>
      <c r="U127" s="45" t="str">
        <f t="shared" si="3"/>
        <v>博智一</v>
      </c>
      <c r="V127" s="46">
        <v>3.0000000000000001E-3</v>
      </c>
    </row>
    <row r="128" spans="1:22" s="6" customFormat="1" ht="17.25" customHeight="1" x14ac:dyDescent="0.4">
      <c r="A128" s="31" t="s">
        <v>211</v>
      </c>
      <c r="B128" s="32">
        <v>82551</v>
      </c>
      <c r="C128" s="32" t="s">
        <v>61</v>
      </c>
      <c r="D128" s="33" t="s">
        <v>62</v>
      </c>
      <c r="E128" s="80">
        <v>2.9899999999999999E-2</v>
      </c>
      <c r="F128" s="81">
        <v>2.7E-2</v>
      </c>
      <c r="G128" s="34">
        <v>46230</v>
      </c>
      <c r="H128" s="34">
        <v>46243</v>
      </c>
      <c r="I128" s="35">
        <v>0.9945205479452055</v>
      </c>
      <c r="J128" s="36">
        <v>100</v>
      </c>
      <c r="K128" s="37">
        <v>196.2</v>
      </c>
      <c r="L128" s="38">
        <v>0.66004077471967382</v>
      </c>
      <c r="M128" s="39">
        <v>102.1</v>
      </c>
      <c r="N128" s="40">
        <v>0.5468741312741312</v>
      </c>
      <c r="O128" s="82">
        <v>5089.9999999999945</v>
      </c>
      <c r="P128" s="41">
        <v>0.99987499999999996</v>
      </c>
      <c r="Q128" s="41">
        <v>0.27100000000000002</v>
      </c>
      <c r="R128" s="42" t="s">
        <v>27</v>
      </c>
      <c r="S128" s="43"/>
      <c r="T128" s="44"/>
      <c r="U128" s="45" t="str">
        <f t="shared" si="3"/>
        <v>朋程一</v>
      </c>
      <c r="V128" s="46">
        <v>3.0000000000000001E-3</v>
      </c>
    </row>
    <row r="129" spans="1:22" s="6" customFormat="1" ht="17.25" customHeight="1" x14ac:dyDescent="0.4">
      <c r="A129" s="31" t="s">
        <v>212</v>
      </c>
      <c r="B129" s="32">
        <v>82992</v>
      </c>
      <c r="C129" s="32" t="s">
        <v>61</v>
      </c>
      <c r="D129" s="33" t="s">
        <v>91</v>
      </c>
      <c r="E129" s="80">
        <v>4.0800000000000003E-2</v>
      </c>
      <c r="F129" s="81">
        <v>2.5999999999999999E-2</v>
      </c>
      <c r="G129" s="34">
        <v>46398</v>
      </c>
      <c r="H129" s="34">
        <v>46410</v>
      </c>
      <c r="I129" s="35">
        <v>1.452054794520548</v>
      </c>
      <c r="J129" s="36">
        <v>100</v>
      </c>
      <c r="K129" s="37">
        <v>550.5</v>
      </c>
      <c r="L129" s="38">
        <v>0.96639418710263381</v>
      </c>
      <c r="M129" s="39">
        <v>113.2</v>
      </c>
      <c r="N129" s="40">
        <v>0.17136466165413552</v>
      </c>
      <c r="O129" s="82">
        <v>17280.000000000004</v>
      </c>
      <c r="P129" s="41">
        <v>1</v>
      </c>
      <c r="Q129" s="41">
        <v>0.22800000000000001</v>
      </c>
      <c r="R129" s="42" t="s">
        <v>27</v>
      </c>
      <c r="S129" s="43"/>
      <c r="T129" s="44"/>
      <c r="U129" s="45" t="str">
        <f t="shared" si="3"/>
        <v>群聯二</v>
      </c>
      <c r="V129" s="46">
        <v>3.0000000000000001E-3</v>
      </c>
    </row>
    <row r="130" spans="1:22" s="6" customFormat="1" ht="17.25" customHeight="1" x14ac:dyDescent="0.4">
      <c r="A130" s="31" t="s">
        <v>213</v>
      </c>
      <c r="B130" s="32">
        <v>84113</v>
      </c>
      <c r="C130" s="32" t="s">
        <v>214</v>
      </c>
      <c r="D130" s="33" t="s">
        <v>74</v>
      </c>
      <c r="E130" s="80">
        <v>6.4000000000000001E-2</v>
      </c>
      <c r="F130" s="81">
        <v>2.3E-2</v>
      </c>
      <c r="G130" s="34">
        <v>46952</v>
      </c>
      <c r="H130" s="34">
        <v>46966</v>
      </c>
      <c r="I130" s="35">
        <v>2.9753424657534246</v>
      </c>
      <c r="J130" s="36">
        <v>100.75190000000001</v>
      </c>
      <c r="K130" s="37">
        <v>13.3</v>
      </c>
      <c r="L130" s="38">
        <v>0.97368421052631571</v>
      </c>
      <c r="M130" s="39">
        <v>101.4</v>
      </c>
      <c r="N130" s="40">
        <v>4.1405405405405507E-2</v>
      </c>
      <c r="O130" s="82">
        <v>7800.0000000000055</v>
      </c>
      <c r="P130" s="41">
        <v>0</v>
      </c>
      <c r="Q130" s="41">
        <v>0.13400000000000001</v>
      </c>
      <c r="R130" s="42" t="s">
        <v>27</v>
      </c>
      <c r="S130" s="43" t="s">
        <v>28</v>
      </c>
      <c r="T130" s="47" t="s">
        <v>29</v>
      </c>
      <c r="U130" s="45" t="str">
        <f t="shared" si="3"/>
        <v>福貞三KY</v>
      </c>
      <c r="V130" s="46">
        <v>3.0000000000000001E-3</v>
      </c>
    </row>
    <row r="131" spans="1:22" s="6" customFormat="1" ht="17" x14ac:dyDescent="0.4">
      <c r="A131" s="31" t="s">
        <v>215</v>
      </c>
      <c r="B131" s="32">
        <v>84222</v>
      </c>
      <c r="C131" s="32" t="s">
        <v>61</v>
      </c>
      <c r="D131" s="33" t="s">
        <v>62</v>
      </c>
      <c r="E131" s="80">
        <v>8.9400000000000007E-2</v>
      </c>
      <c r="F131" s="81">
        <v>3.2500000000000001E-2</v>
      </c>
      <c r="G131" s="34">
        <v>46836</v>
      </c>
      <c r="H131" s="34">
        <v>46850</v>
      </c>
      <c r="I131" s="35">
        <v>2.6575342465753424</v>
      </c>
      <c r="J131" s="36">
        <v>100</v>
      </c>
      <c r="K131" s="37">
        <v>189.8</v>
      </c>
      <c r="L131" s="38">
        <v>1.0432033719704952</v>
      </c>
      <c r="M131" s="39">
        <v>113.5</v>
      </c>
      <c r="N131" s="40">
        <v>8.7994949494949654E-2</v>
      </c>
      <c r="O131" s="82">
        <v>22440</v>
      </c>
      <c r="P131" s="41">
        <v>1</v>
      </c>
      <c r="Q131" s="41">
        <v>0.10299999999999999</v>
      </c>
      <c r="R131" s="42" t="s">
        <v>27</v>
      </c>
      <c r="S131" s="43"/>
      <c r="T131" s="44"/>
      <c r="U131" s="45" t="str">
        <f t="shared" si="3"/>
        <v>可寧衛二</v>
      </c>
      <c r="V131" s="46">
        <v>3.0000000000000001E-3</v>
      </c>
    </row>
    <row r="132" spans="1:22" s="6" customFormat="1" ht="17" x14ac:dyDescent="0.4">
      <c r="A132" s="31" t="s">
        <v>216</v>
      </c>
      <c r="B132" s="32">
        <v>84422</v>
      </c>
      <c r="C132" s="32" t="s">
        <v>64</v>
      </c>
      <c r="D132" s="33" t="s">
        <v>74</v>
      </c>
      <c r="E132" s="80">
        <v>3.04E-2</v>
      </c>
      <c r="F132" s="81">
        <v>2.3E-2</v>
      </c>
      <c r="G132" s="34">
        <v>46300</v>
      </c>
      <c r="H132" s="34">
        <v>46314</v>
      </c>
      <c r="I132" s="35">
        <v>1.189041095890411</v>
      </c>
      <c r="J132" s="36">
        <v>100</v>
      </c>
      <c r="K132" s="37">
        <v>73.900000000000006</v>
      </c>
      <c r="L132" s="38">
        <v>1.0365358592692826</v>
      </c>
      <c r="M132" s="39">
        <v>114.4</v>
      </c>
      <c r="N132" s="40">
        <v>0.10367624020887758</v>
      </c>
      <c r="O132" s="82">
        <v>17440.000000000007</v>
      </c>
      <c r="P132" s="41">
        <v>0.90375000000000005</v>
      </c>
      <c r="Q132" s="41">
        <v>0.19</v>
      </c>
      <c r="R132" s="42" t="s">
        <v>26</v>
      </c>
      <c r="S132" s="43"/>
      <c r="T132" s="44"/>
      <c r="U132" s="45" t="str">
        <f t="shared" si="3"/>
        <v>威宏二KY</v>
      </c>
      <c r="V132" s="46">
        <v>3.0000000000000001E-3</v>
      </c>
    </row>
    <row r="133" spans="1:22" s="6" customFormat="1" ht="17.25" customHeight="1" x14ac:dyDescent="0.4">
      <c r="A133" s="31" t="s">
        <v>217</v>
      </c>
      <c r="B133" s="32">
        <v>84672</v>
      </c>
      <c r="C133" s="32" t="s">
        <v>64</v>
      </c>
      <c r="D133" s="33" t="s">
        <v>74</v>
      </c>
      <c r="E133" s="80">
        <v>4.4400000000000002E-2</v>
      </c>
      <c r="F133" s="81">
        <v>2.3E-2</v>
      </c>
      <c r="G133" s="34">
        <v>46524</v>
      </c>
      <c r="H133" s="34">
        <v>46537</v>
      </c>
      <c r="I133" s="35">
        <v>1.8</v>
      </c>
      <c r="J133" s="36">
        <v>100</v>
      </c>
      <c r="K133" s="37">
        <v>191.4</v>
      </c>
      <c r="L133" s="38">
        <v>0.85684430512016718</v>
      </c>
      <c r="M133" s="39">
        <v>110</v>
      </c>
      <c r="N133" s="40">
        <v>0.28378048780487808</v>
      </c>
      <c r="O133" s="82">
        <v>14440</v>
      </c>
      <c r="P133" s="41">
        <v>0.55238095238095242</v>
      </c>
      <c r="Q133" s="41">
        <v>0.379</v>
      </c>
      <c r="R133" s="42" t="s">
        <v>26</v>
      </c>
      <c r="S133" s="43"/>
      <c r="T133" s="44"/>
      <c r="U133" s="45" t="str">
        <f t="shared" si="3"/>
        <v>波力二KY</v>
      </c>
      <c r="V133" s="46">
        <v>3.0000000000000001E-3</v>
      </c>
    </row>
    <row r="134" spans="1:22" s="6" customFormat="1" ht="17" x14ac:dyDescent="0.4">
      <c r="A134" s="31" t="s">
        <v>218</v>
      </c>
      <c r="B134" s="32">
        <v>84732</v>
      </c>
      <c r="C134" s="32" t="s">
        <v>61</v>
      </c>
      <c r="D134" s="33" t="s">
        <v>74</v>
      </c>
      <c r="E134" s="80">
        <v>2.7199999999999998E-2</v>
      </c>
      <c r="F134" s="81">
        <v>3.2500000000000001E-2</v>
      </c>
      <c r="G134" s="34">
        <v>46279</v>
      </c>
      <c r="H134" s="34">
        <v>46293</v>
      </c>
      <c r="I134" s="35">
        <v>1.1315068493150684</v>
      </c>
      <c r="J134" s="36">
        <v>101.26</v>
      </c>
      <c r="K134" s="37">
        <v>34.1</v>
      </c>
      <c r="L134" s="38">
        <v>1.0205278592375366</v>
      </c>
      <c r="M134" s="39">
        <v>103</v>
      </c>
      <c r="N134" s="40">
        <v>9.281609195402352E-3</v>
      </c>
      <c r="O134" s="82">
        <v>5720</v>
      </c>
      <c r="P134" s="41">
        <v>0.25580000000000003</v>
      </c>
      <c r="Q134" s="41">
        <v>0.27700000000000002</v>
      </c>
      <c r="R134" s="42" t="s">
        <v>27</v>
      </c>
      <c r="S134" s="43" t="s">
        <v>3</v>
      </c>
      <c r="T134" s="44"/>
      <c r="U134" s="45" t="str">
        <f t="shared" si="3"/>
        <v>山林水二</v>
      </c>
      <c r="V134" s="46">
        <v>3.0000000000000001E-3</v>
      </c>
    </row>
    <row r="135" spans="1:22" s="6" customFormat="1" ht="17" x14ac:dyDescent="0.4">
      <c r="A135" s="31" t="s">
        <v>219</v>
      </c>
      <c r="B135" s="32">
        <v>84881</v>
      </c>
      <c r="C135" s="32" t="s">
        <v>220</v>
      </c>
      <c r="D135" s="33" t="s">
        <v>71</v>
      </c>
      <c r="E135" s="80">
        <v>3.4200000000000001E-2</v>
      </c>
      <c r="F135" s="81">
        <v>2.3E-2</v>
      </c>
      <c r="G135" s="34">
        <v>46363</v>
      </c>
      <c r="H135" s="34">
        <v>46375</v>
      </c>
      <c r="I135" s="35">
        <v>1.3561643835616439</v>
      </c>
      <c r="J135" s="36">
        <v>100</v>
      </c>
      <c r="K135" s="37">
        <v>18.399999999999999</v>
      </c>
      <c r="L135" s="38">
        <v>0.61684782608695654</v>
      </c>
      <c r="M135" s="39">
        <v>98.65</v>
      </c>
      <c r="N135" s="40">
        <v>0.59925991189427308</v>
      </c>
      <c r="O135" s="82">
        <v>2070.0000000000059</v>
      </c>
      <c r="P135" s="41">
        <v>1</v>
      </c>
      <c r="Q135" s="41">
        <v>0.19400000000000001</v>
      </c>
      <c r="R135" s="42" t="s">
        <v>26</v>
      </c>
      <c r="S135" s="43"/>
      <c r="T135" s="44"/>
      <c r="U135" s="45" t="str">
        <f t="shared" ref="U135:U140" si="4">A135</f>
        <v>吉源一KY</v>
      </c>
      <c r="V135" s="46">
        <v>3.0000000000000001E-3</v>
      </c>
    </row>
    <row r="136" spans="1:22" s="6" customFormat="1" ht="17.25" customHeight="1" x14ac:dyDescent="0.4">
      <c r="A136" s="31" t="s">
        <v>221</v>
      </c>
      <c r="B136" s="32">
        <v>84891</v>
      </c>
      <c r="C136" s="32" t="s">
        <v>222</v>
      </c>
      <c r="D136" s="33" t="s">
        <v>74</v>
      </c>
      <c r="E136" s="80">
        <v>3.1600000000000003E-2</v>
      </c>
      <c r="F136" s="81">
        <v>2.3E-2</v>
      </c>
      <c r="G136" s="34">
        <v>46351</v>
      </c>
      <c r="H136" s="34">
        <v>46365</v>
      </c>
      <c r="I136" s="35">
        <v>1.3287671232876712</v>
      </c>
      <c r="J136" s="36">
        <v>100.20010000000001</v>
      </c>
      <c r="K136" s="37">
        <v>28.8</v>
      </c>
      <c r="L136" s="38">
        <v>1.442708333333333</v>
      </c>
      <c r="M136" s="39">
        <v>143</v>
      </c>
      <c r="N136" s="40">
        <v>-8.808664259927667E-3</v>
      </c>
      <c r="O136" s="82">
        <v>46160</v>
      </c>
      <c r="P136" s="41">
        <v>0.64325850373026872</v>
      </c>
      <c r="Q136" s="41">
        <v>0.439</v>
      </c>
      <c r="R136" s="42" t="s">
        <v>26</v>
      </c>
      <c r="S136" s="43"/>
      <c r="T136" s="44"/>
      <c r="U136" s="45" t="str">
        <f t="shared" si="4"/>
        <v>三貝德一</v>
      </c>
      <c r="V136" s="46">
        <v>3.0000000000000001E-3</v>
      </c>
    </row>
    <row r="137" spans="1:22" s="6" customFormat="1" ht="17.25" customHeight="1" x14ac:dyDescent="0.4">
      <c r="A137" s="31" t="s">
        <v>223</v>
      </c>
      <c r="B137" s="32">
        <v>89277</v>
      </c>
      <c r="C137" s="32" t="s">
        <v>77</v>
      </c>
      <c r="D137" s="33" t="s">
        <v>71</v>
      </c>
      <c r="E137" s="80">
        <v>3.4300000000000004E-2</v>
      </c>
      <c r="F137" s="81">
        <v>2.3E-2</v>
      </c>
      <c r="G137" s="34">
        <v>46601</v>
      </c>
      <c r="H137" s="34">
        <v>46615</v>
      </c>
      <c r="I137" s="35">
        <v>2.0136986301369864</v>
      </c>
      <c r="J137" s="36">
        <v>101.50749999999999</v>
      </c>
      <c r="K137" s="37">
        <v>50.79</v>
      </c>
      <c r="L137" s="38">
        <v>0.79050994290214605</v>
      </c>
      <c r="M137" s="39">
        <v>110.25</v>
      </c>
      <c r="N137" s="40">
        <v>0.39466936488169374</v>
      </c>
      <c r="O137" s="82">
        <v>13680</v>
      </c>
      <c r="P137" s="41">
        <v>1</v>
      </c>
      <c r="Q137" s="41">
        <v>0.33900000000000002</v>
      </c>
      <c r="R137" s="42" t="s">
        <v>26</v>
      </c>
      <c r="S137" s="43"/>
      <c r="T137" s="44"/>
      <c r="U137" s="45" t="str">
        <f t="shared" si="4"/>
        <v>北基七</v>
      </c>
      <c r="V137" s="46">
        <v>3.0000000000000001E-3</v>
      </c>
    </row>
    <row r="138" spans="1:22" s="6" customFormat="1" ht="17.25" customHeight="1" x14ac:dyDescent="0.4">
      <c r="A138" s="31" t="s">
        <v>224</v>
      </c>
      <c r="B138" s="32">
        <v>89964</v>
      </c>
      <c r="C138" s="32" t="s">
        <v>61</v>
      </c>
      <c r="D138" s="33" t="s">
        <v>80</v>
      </c>
      <c r="E138" s="80">
        <v>4.1800000000000004E-2</v>
      </c>
      <c r="F138" s="81">
        <v>3.5000000000000003E-2</v>
      </c>
      <c r="G138" s="34">
        <v>46349</v>
      </c>
      <c r="H138" s="34">
        <v>46362</v>
      </c>
      <c r="I138" s="35">
        <v>1.3205479452054794</v>
      </c>
      <c r="J138" s="36">
        <v>100.75190000000001</v>
      </c>
      <c r="K138" s="37">
        <v>233.5</v>
      </c>
      <c r="L138" s="38">
        <v>1.3233404710920771</v>
      </c>
      <c r="M138" s="39">
        <v>139.65</v>
      </c>
      <c r="N138" s="40">
        <v>5.5283980582524254E-2</v>
      </c>
      <c r="O138" s="82">
        <v>43830.000000000007</v>
      </c>
      <c r="P138" s="41">
        <v>0.50319999999999998</v>
      </c>
      <c r="Q138" s="41">
        <v>0.46800000000000003</v>
      </c>
      <c r="R138" s="42" t="s">
        <v>27</v>
      </c>
      <c r="S138" s="43"/>
      <c r="T138" s="44"/>
      <c r="U138" s="45" t="str">
        <f t="shared" si="4"/>
        <v>高力四</v>
      </c>
      <c r="V138" s="46">
        <v>3.0000000000000001E-3</v>
      </c>
    </row>
    <row r="139" spans="1:22" s="6" customFormat="1" ht="17.25" customHeight="1" x14ac:dyDescent="0.4">
      <c r="A139" s="31" t="s">
        <v>225</v>
      </c>
      <c r="B139" s="32">
        <v>98026</v>
      </c>
      <c r="C139" s="32" t="s">
        <v>61</v>
      </c>
      <c r="D139" s="33" t="s">
        <v>62</v>
      </c>
      <c r="E139" s="80">
        <v>3.7200000000000004E-2</v>
      </c>
      <c r="F139" s="81">
        <v>3.5000000000000003E-2</v>
      </c>
      <c r="G139" s="34">
        <v>46328</v>
      </c>
      <c r="H139" s="34">
        <v>46341</v>
      </c>
      <c r="I139" s="35">
        <v>1.263013698630137</v>
      </c>
      <c r="J139" s="36">
        <v>101.0025</v>
      </c>
      <c r="K139" s="37">
        <v>109.6</v>
      </c>
      <c r="L139" s="38">
        <v>0.97627737226277378</v>
      </c>
      <c r="M139" s="39">
        <v>117.55</v>
      </c>
      <c r="N139" s="40">
        <v>0.2040635514018691</v>
      </c>
      <c r="O139" s="82">
        <v>21269.999999999996</v>
      </c>
      <c r="P139" s="41">
        <v>0.99980000000000002</v>
      </c>
      <c r="Q139" s="41">
        <v>0.35899999999999999</v>
      </c>
      <c r="R139" s="42" t="s">
        <v>27</v>
      </c>
      <c r="S139" s="43"/>
      <c r="T139" s="44"/>
      <c r="U139" s="45" t="str">
        <f t="shared" si="4"/>
        <v>鈺齊六KY</v>
      </c>
      <c r="V139" s="46">
        <v>3.0000000000000001E-3</v>
      </c>
    </row>
    <row r="140" spans="1:22" s="6" customFormat="1" ht="17.25" customHeight="1" x14ac:dyDescent="0.4">
      <c r="A140" s="31" t="s">
        <v>226</v>
      </c>
      <c r="B140" s="32">
        <v>99392</v>
      </c>
      <c r="C140" s="32" t="s">
        <v>61</v>
      </c>
      <c r="D140" s="33" t="s">
        <v>62</v>
      </c>
      <c r="E140" s="80">
        <v>6.5100000000000005E-2</v>
      </c>
      <c r="F140" s="81">
        <v>2.8000000000000001E-2</v>
      </c>
      <c r="G140" s="34">
        <v>46675</v>
      </c>
      <c r="H140" s="34">
        <v>46689</v>
      </c>
      <c r="I140" s="35">
        <v>2.2164383561643834</v>
      </c>
      <c r="J140" s="36">
        <v>100</v>
      </c>
      <c r="K140" s="37">
        <v>161.19999999999999</v>
      </c>
      <c r="L140" s="38">
        <v>0.88709677419354849</v>
      </c>
      <c r="M140" s="39">
        <v>107</v>
      </c>
      <c r="N140" s="40">
        <v>0.20618181818181808</v>
      </c>
      <c r="O140" s="82">
        <v>13510</v>
      </c>
      <c r="P140" s="41">
        <v>0.99997499999999995</v>
      </c>
      <c r="Q140" s="41">
        <v>0.159</v>
      </c>
      <c r="R140" s="42" t="s">
        <v>27</v>
      </c>
      <c r="S140" s="43"/>
      <c r="T140" s="44"/>
      <c r="U140" s="45" t="str">
        <f t="shared" si="4"/>
        <v>宏全二</v>
      </c>
      <c r="V140" s="46">
        <v>3.0000000000000001E-3</v>
      </c>
    </row>
    <row r="141" spans="1:22" s="6" customFormat="1" ht="8.15" customHeight="1" x14ac:dyDescent="0.4">
      <c r="A141" s="48"/>
      <c r="B141" s="29"/>
      <c r="C141" s="49"/>
      <c r="D141" s="48"/>
      <c r="E141" s="48"/>
      <c r="F141" s="50" t="s">
        <v>3</v>
      </c>
      <c r="G141" s="48"/>
      <c r="H141" s="48"/>
      <c r="I141" s="18"/>
      <c r="J141" s="19"/>
      <c r="K141" s="19"/>
      <c r="L141" s="50"/>
      <c r="M141" s="50"/>
      <c r="N141" s="50"/>
      <c r="O141" s="50"/>
      <c r="P141" s="50"/>
      <c r="Q141" s="50"/>
      <c r="R141" s="51"/>
      <c r="S141" s="52"/>
      <c r="T141" s="13"/>
      <c r="V141" s="5"/>
    </row>
    <row r="142" spans="1:22" s="6" customFormat="1" ht="17.25" customHeight="1" x14ac:dyDescent="0.4">
      <c r="A142" s="84"/>
      <c r="B142" s="32"/>
      <c r="C142" s="86"/>
      <c r="D142" s="84"/>
      <c r="E142" s="84"/>
      <c r="F142" s="89"/>
      <c r="G142" s="84" t="s">
        <v>3</v>
      </c>
      <c r="H142" s="84"/>
      <c r="I142" s="93"/>
      <c r="J142" s="95"/>
      <c r="K142" s="95"/>
      <c r="L142" s="89"/>
      <c r="M142" s="89"/>
      <c r="N142" s="89"/>
      <c r="O142" s="89"/>
      <c r="P142" s="89"/>
      <c r="Q142" s="89"/>
      <c r="R142" s="103"/>
      <c r="S142" s="105"/>
      <c r="T142" s="44"/>
      <c r="V142" s="5"/>
    </row>
    <row r="143" spans="1:22" s="6" customFormat="1" ht="17.25" customHeight="1" x14ac:dyDescent="0.4">
      <c r="A143" s="84" t="s">
        <v>37</v>
      </c>
      <c r="B143" s="32"/>
      <c r="C143" s="86"/>
      <c r="D143" s="84"/>
      <c r="E143" s="84"/>
      <c r="F143" s="89"/>
      <c r="G143" s="84" t="s">
        <v>3</v>
      </c>
      <c r="H143" s="84"/>
      <c r="I143" s="93"/>
      <c r="J143" s="95"/>
      <c r="K143" s="95"/>
      <c r="L143" s="89"/>
      <c r="M143" s="89"/>
      <c r="N143" s="89"/>
      <c r="O143" s="89"/>
      <c r="P143" s="89"/>
      <c r="Q143" s="89"/>
      <c r="R143" s="103"/>
      <c r="S143" s="105"/>
      <c r="T143" s="107"/>
      <c r="V143" s="5"/>
    </row>
    <row r="144" spans="1:22" s="6" customFormat="1" ht="17.25" customHeight="1" x14ac:dyDescent="0.4">
      <c r="A144" s="53"/>
      <c r="B144" s="54" t="s">
        <v>38</v>
      </c>
      <c r="C144" s="54" t="s">
        <v>39</v>
      </c>
      <c r="D144" s="113" t="s">
        <v>40</v>
      </c>
      <c r="E144" s="113"/>
      <c r="F144" s="55" t="s">
        <v>41</v>
      </c>
      <c r="G144" s="113" t="s">
        <v>42</v>
      </c>
      <c r="H144" s="113"/>
      <c r="I144" s="113" t="s">
        <v>43</v>
      </c>
      <c r="J144" s="113"/>
      <c r="K144" s="50"/>
      <c r="L144" s="50"/>
      <c r="M144" s="50"/>
      <c r="N144" s="50"/>
      <c r="O144" s="50"/>
      <c r="P144" s="51"/>
      <c r="Q144" s="52"/>
      <c r="R144" s="52"/>
      <c r="S144" s="56"/>
      <c r="T144" s="5"/>
      <c r="U144" s="5"/>
      <c r="V144" s="4"/>
    </row>
    <row r="145" spans="1:22" s="6" customFormat="1" ht="17.25" customHeight="1" x14ac:dyDescent="0.4">
      <c r="A145" s="57" t="s">
        <v>44</v>
      </c>
      <c r="B145" s="58">
        <v>11011</v>
      </c>
      <c r="C145" s="59" t="str">
        <f>VLOOKUP(B145,B1:V140,20,FALSE)</f>
        <v>台泥一永</v>
      </c>
      <c r="D145" s="109">
        <f>VLOOKUP(B145,B1:V140,5,FALSE)</f>
        <v>2.9000000000000001E-2</v>
      </c>
      <c r="E145" s="109"/>
      <c r="F145" s="60">
        <f>ROUND(VLOOKUP(B145,B1:V140,4,FALSE),4)</f>
        <v>7.0699999999999999E-2</v>
      </c>
      <c r="G145" s="110">
        <f>VLOOKUP(B145,B:R,12,FALSE)</f>
        <v>98.15</v>
      </c>
      <c r="H145" s="110"/>
      <c r="I145" s="111">
        <f>(F145+(G145/100-1))*100000</f>
        <v>5220.0000000000036</v>
      </c>
      <c r="J145" s="111"/>
      <c r="K145" s="61" t="s">
        <v>45</v>
      </c>
      <c r="L145" s="50"/>
      <c r="M145" s="50"/>
      <c r="N145" s="50"/>
      <c r="O145" s="50"/>
      <c r="P145" s="51"/>
      <c r="Q145" s="52"/>
      <c r="R145" s="52"/>
      <c r="S145" s="56"/>
      <c r="T145" s="5"/>
      <c r="U145" s="5"/>
      <c r="V145" s="4"/>
    </row>
    <row r="146" spans="1:22" s="6" customFormat="1" ht="17.25" customHeight="1" x14ac:dyDescent="0.4">
      <c r="A146" s="48"/>
      <c r="B146" s="29"/>
      <c r="C146" s="49"/>
      <c r="D146" s="48"/>
      <c r="E146" s="48"/>
      <c r="F146" s="50"/>
      <c r="G146" s="48"/>
      <c r="H146" s="48"/>
      <c r="I146" s="18"/>
      <c r="J146" s="19"/>
      <c r="K146" s="19"/>
      <c r="L146" s="50"/>
      <c r="M146" s="50"/>
      <c r="N146" s="50"/>
      <c r="O146" s="50"/>
      <c r="P146" s="50"/>
      <c r="Q146" s="50"/>
      <c r="R146" s="51"/>
      <c r="S146" s="52"/>
      <c r="T146" s="13"/>
      <c r="V146" s="5"/>
    </row>
    <row r="147" spans="1:22" s="6" customFormat="1" ht="17.25" customHeight="1" x14ac:dyDescent="0.4">
      <c r="A147" s="48" t="s">
        <v>46</v>
      </c>
      <c r="B147" s="29"/>
      <c r="C147" s="49"/>
      <c r="D147" s="48"/>
      <c r="E147" s="48"/>
      <c r="F147" s="50"/>
      <c r="G147" s="48"/>
      <c r="H147" s="48"/>
      <c r="I147" s="18"/>
      <c r="J147" s="19"/>
      <c r="L147" s="50"/>
      <c r="M147" s="50"/>
      <c r="N147" s="50"/>
      <c r="O147" s="50"/>
      <c r="P147" s="50"/>
      <c r="Q147" s="50"/>
      <c r="R147" s="51"/>
      <c r="S147" s="52"/>
      <c r="T147" s="13"/>
      <c r="V147" s="5"/>
    </row>
    <row r="148" spans="1:22" ht="17.25" customHeight="1" x14ac:dyDescent="0.4">
      <c r="A148" s="48" t="s">
        <v>47</v>
      </c>
      <c r="C148" s="49"/>
      <c r="D148" s="48"/>
      <c r="E148" s="48"/>
      <c r="F148" s="62"/>
      <c r="G148" s="48"/>
      <c r="H148" s="48"/>
      <c r="I148" s="18"/>
      <c r="J148" s="19"/>
      <c r="K148" s="19"/>
      <c r="L148" s="62"/>
      <c r="M148" s="62"/>
      <c r="N148" s="62"/>
      <c r="O148" s="62"/>
      <c r="P148" s="62"/>
      <c r="Q148" s="62"/>
      <c r="R148" s="51"/>
      <c r="S148" s="52"/>
      <c r="T148" s="13"/>
    </row>
    <row r="149" spans="1:22" ht="17.25" customHeight="1" x14ac:dyDescent="0.4">
      <c r="A149" s="48" t="s">
        <v>48</v>
      </c>
      <c r="C149" s="49"/>
      <c r="D149" s="48"/>
      <c r="E149" s="48"/>
      <c r="F149" s="62"/>
      <c r="G149" s="48"/>
      <c r="H149" s="48"/>
      <c r="I149" s="18"/>
      <c r="J149" s="19"/>
      <c r="K149" s="19"/>
      <c r="L149" s="62"/>
      <c r="M149" s="62"/>
      <c r="N149" s="62"/>
      <c r="O149" s="62"/>
      <c r="P149" s="62"/>
      <c r="Q149" s="62"/>
      <c r="R149" s="51"/>
      <c r="S149" s="52"/>
      <c r="T149" s="13"/>
    </row>
    <row r="150" spans="1:22" ht="17.25" customHeight="1" x14ac:dyDescent="0.4">
      <c r="A150" s="63" t="s">
        <v>49</v>
      </c>
      <c r="C150" s="49"/>
      <c r="D150" s="48"/>
      <c r="E150" s="48"/>
      <c r="F150" s="62"/>
      <c r="G150" s="48"/>
      <c r="H150" s="48"/>
      <c r="I150" s="18"/>
      <c r="J150" s="19"/>
      <c r="K150" s="19"/>
      <c r="L150" s="62"/>
      <c r="M150" s="62"/>
      <c r="N150" s="62"/>
      <c r="O150" s="62"/>
      <c r="P150" s="62"/>
      <c r="Q150" s="62"/>
      <c r="R150" s="51"/>
      <c r="S150" s="52"/>
      <c r="T150" s="13"/>
      <c r="V150" s="5"/>
    </row>
    <row r="151" spans="1:22" ht="17.25" customHeight="1" x14ac:dyDescent="0.4">
      <c r="A151" s="48" t="s">
        <v>50</v>
      </c>
      <c r="C151" s="49"/>
      <c r="D151" s="48"/>
      <c r="E151" s="48"/>
      <c r="F151" s="48"/>
      <c r="G151" s="48"/>
      <c r="H151" s="48"/>
      <c r="I151" s="18"/>
      <c r="J151" s="49"/>
      <c r="K151" s="49"/>
      <c r="L151" s="48"/>
      <c r="M151" s="48"/>
      <c r="N151" s="48"/>
      <c r="O151" s="48"/>
      <c r="P151" s="48"/>
      <c r="Q151" s="48"/>
      <c r="R151" s="49"/>
      <c r="S151" s="10"/>
      <c r="T151" s="64"/>
      <c r="V151" s="5"/>
    </row>
    <row r="152" spans="1:22" ht="17.25" customHeight="1" x14ac:dyDescent="0.4">
      <c r="A152" s="65" t="s">
        <v>51</v>
      </c>
      <c r="B152" s="65"/>
      <c r="C152" s="65"/>
      <c r="D152" s="65"/>
      <c r="E152" s="65"/>
      <c r="F152" s="65"/>
      <c r="G152" s="65"/>
      <c r="H152" s="65"/>
      <c r="I152" s="66"/>
      <c r="J152" s="65"/>
      <c r="K152" s="65"/>
      <c r="L152" s="65"/>
      <c r="M152" s="65"/>
      <c r="N152" s="65"/>
      <c r="O152" s="65"/>
      <c r="P152" s="65"/>
      <c r="Q152" s="65"/>
      <c r="R152" s="65"/>
      <c r="S152" s="67"/>
      <c r="T152" s="68"/>
      <c r="V152" s="5"/>
    </row>
    <row r="153" spans="1:22" ht="17.25" customHeight="1" x14ac:dyDescent="0.4">
      <c r="A153" s="65" t="s">
        <v>3</v>
      </c>
      <c r="B153" s="65"/>
      <c r="C153" s="65"/>
      <c r="D153" s="65"/>
      <c r="E153" s="65"/>
      <c r="F153" s="65"/>
      <c r="G153" s="65"/>
      <c r="H153" s="65"/>
      <c r="I153" s="66"/>
      <c r="J153" s="65"/>
      <c r="K153" s="65"/>
      <c r="L153" s="65"/>
      <c r="M153" s="65"/>
      <c r="N153" s="65"/>
      <c r="O153" s="65"/>
      <c r="P153" s="65"/>
      <c r="Q153" s="65"/>
      <c r="R153" s="65"/>
      <c r="S153" s="67"/>
      <c r="T153" s="68"/>
      <c r="V153" s="5"/>
    </row>
    <row r="154" spans="1:22" ht="17.25" customHeight="1" x14ac:dyDescent="0.4">
      <c r="A154" s="48" t="s">
        <v>52</v>
      </c>
      <c r="C154" s="49"/>
      <c r="D154" s="48"/>
      <c r="E154" s="48"/>
      <c r="F154" s="62"/>
      <c r="G154" s="48"/>
      <c r="H154" s="48"/>
      <c r="I154" s="18"/>
      <c r="J154" s="19"/>
      <c r="K154" s="19"/>
      <c r="L154" s="62"/>
      <c r="M154" s="62"/>
      <c r="N154" s="62"/>
      <c r="O154" s="62"/>
      <c r="P154" s="62"/>
      <c r="Q154" s="62"/>
      <c r="R154" s="51"/>
      <c r="S154" s="52"/>
      <c r="T154" s="13"/>
      <c r="V154" s="5"/>
    </row>
    <row r="155" spans="1:22" ht="17.25" customHeight="1" x14ac:dyDescent="0.4">
      <c r="A155" s="7" t="s">
        <v>53</v>
      </c>
      <c r="C155" s="49"/>
      <c r="D155" s="48"/>
      <c r="E155" s="48"/>
      <c r="F155" s="62"/>
      <c r="G155" s="48"/>
      <c r="H155" s="48"/>
      <c r="I155" s="18"/>
      <c r="J155" s="19"/>
      <c r="K155" s="19"/>
      <c r="L155" s="62"/>
      <c r="M155" s="62"/>
      <c r="N155" s="62"/>
      <c r="O155" s="62"/>
      <c r="P155" s="62"/>
      <c r="Q155" s="62"/>
      <c r="R155" s="51"/>
      <c r="S155" s="52"/>
      <c r="T155" s="13"/>
      <c r="V155" s="5"/>
    </row>
    <row r="156" spans="1:22" s="74" customFormat="1" ht="17.25" customHeight="1" x14ac:dyDescent="0.4">
      <c r="A156" s="69" t="s">
        <v>54</v>
      </c>
      <c r="B156" s="70"/>
      <c r="C156" s="70"/>
      <c r="D156" s="70"/>
      <c r="E156" s="70"/>
      <c r="F156" s="70"/>
      <c r="G156" s="70"/>
      <c r="H156" s="70"/>
      <c r="I156" s="71"/>
      <c r="J156" s="70"/>
      <c r="K156" s="70"/>
      <c r="L156" s="70"/>
      <c r="M156" s="70"/>
      <c r="N156" s="70"/>
      <c r="O156" s="70"/>
      <c r="P156" s="70"/>
      <c r="Q156" s="70"/>
      <c r="R156" s="70"/>
      <c r="S156" s="72"/>
      <c r="T156" s="73"/>
      <c r="V156" s="75"/>
    </row>
    <row r="157" spans="1:22" ht="17.25" customHeight="1" x14ac:dyDescent="0.4">
      <c r="A157" s="7" t="s">
        <v>55</v>
      </c>
      <c r="C157" s="49"/>
      <c r="D157" s="48"/>
      <c r="E157" s="48"/>
      <c r="F157" s="62"/>
      <c r="G157" s="48"/>
      <c r="H157" s="48"/>
      <c r="I157" s="18"/>
      <c r="J157" s="19"/>
      <c r="K157" s="19"/>
      <c r="L157" s="62"/>
      <c r="M157" s="62"/>
      <c r="N157" s="62"/>
      <c r="O157" s="62"/>
      <c r="P157" s="62"/>
      <c r="Q157" s="62"/>
      <c r="R157" s="51"/>
      <c r="S157" s="52"/>
      <c r="T157" s="13"/>
      <c r="V157" s="5"/>
    </row>
    <row r="158" spans="1:22" ht="17.25" customHeight="1" x14ac:dyDescent="0.4">
      <c r="A158" s="7" t="s">
        <v>56</v>
      </c>
      <c r="C158" s="49"/>
      <c r="D158" s="48"/>
      <c r="E158" s="48"/>
      <c r="F158" s="62"/>
      <c r="G158" s="48"/>
      <c r="H158" s="48"/>
      <c r="I158" s="18"/>
      <c r="J158" s="19"/>
      <c r="K158" s="19"/>
      <c r="L158" s="62"/>
      <c r="M158" s="62"/>
      <c r="N158" s="62"/>
      <c r="O158" s="62"/>
      <c r="P158" s="62"/>
      <c r="Q158" s="62"/>
      <c r="R158" s="51"/>
      <c r="S158" s="52"/>
      <c r="T158" s="13"/>
      <c r="V158" s="5"/>
    </row>
    <row r="159" spans="1:22" ht="17.25" customHeight="1" x14ac:dyDescent="0.4">
      <c r="A159" s="7" t="s">
        <v>57</v>
      </c>
      <c r="C159" s="49"/>
      <c r="D159" s="48"/>
      <c r="E159" s="48"/>
      <c r="F159" s="62"/>
      <c r="G159" s="48"/>
      <c r="H159" s="48"/>
      <c r="I159" s="18"/>
      <c r="J159" s="19"/>
      <c r="K159" s="19"/>
      <c r="L159" s="62"/>
      <c r="M159" s="62"/>
      <c r="N159" s="62"/>
      <c r="O159" s="62"/>
      <c r="P159" s="62"/>
      <c r="Q159" s="62"/>
      <c r="R159" s="51"/>
      <c r="S159" s="52"/>
      <c r="T159" s="13"/>
      <c r="V159" s="5"/>
    </row>
    <row r="160" spans="1:22" s="74" customFormat="1" ht="17.25" customHeight="1" x14ac:dyDescent="0.4">
      <c r="A160" s="63" t="s">
        <v>58</v>
      </c>
      <c r="I160" s="76"/>
      <c r="S160" s="72"/>
      <c r="T160" s="73"/>
      <c r="V160" s="75"/>
    </row>
    <row r="161" spans="1:22" s="74" customFormat="1" ht="17.25" customHeight="1" x14ac:dyDescent="0.4">
      <c r="A161" s="63" t="s">
        <v>59</v>
      </c>
      <c r="I161" s="76"/>
      <c r="S161" s="72"/>
      <c r="T161" s="73"/>
      <c r="V161" s="75"/>
    </row>
    <row r="162" spans="1:22" ht="17.25" customHeight="1" x14ac:dyDescent="0.4">
      <c r="B162" s="7"/>
      <c r="C162" s="7"/>
      <c r="F162" s="7"/>
      <c r="J162" s="7"/>
      <c r="K162" s="7"/>
      <c r="L162" s="7"/>
      <c r="M162" s="7"/>
      <c r="N162" s="7"/>
      <c r="O162" s="7"/>
      <c r="P162" s="7"/>
      <c r="Q162" s="7"/>
      <c r="R162" s="7"/>
      <c r="S162" s="11"/>
      <c r="T162" s="78"/>
      <c r="V162" s="7"/>
    </row>
  </sheetData>
  <autoFilter ref="A7:V145">
    <sortState ref="A8:W143">
      <sortCondition sortBy="cellColor" ref="H7:H143" dxfId="0"/>
    </sortState>
  </autoFilter>
  <mergeCells count="9">
    <mergeCell ref="D145:E145"/>
    <mergeCell ref="G145:H145"/>
    <mergeCell ref="I145:J145"/>
    <mergeCell ref="A2:R2"/>
    <mergeCell ref="A3:R3"/>
    <mergeCell ref="A4:R4"/>
    <mergeCell ref="D144:E144"/>
    <mergeCell ref="G144:H144"/>
    <mergeCell ref="I144:J14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2025-08-08T05:58:05Z</dcterms:created>
  <dcterms:modified xsi:type="dcterms:W3CDTF">2025-08-08T06:58:20Z</dcterms:modified>
</cp:coreProperties>
</file>