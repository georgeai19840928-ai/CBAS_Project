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金融交易部資產交換選擇權報價表!$A$7:$W$120</definedName>
    <definedName name="A">#REF!</definedName>
    <definedName name="A1112223" localSheetId="0">EVULATE([2]計算!$D$4)</definedName>
    <definedName name="A1112223">EVULATE([2]計算!$D$4)</definedName>
    <definedName name="ASWDSQ" localSheetId="0">EVULATE([2]計算!$D$4)</definedName>
    <definedName name="ASWDSQ">EVULATE([2]計算!$D$4)</definedName>
    <definedName name="AUpdate">1</definedName>
    <definedName name="B" localSheetId="0">EVULATE([2]計算!$D$4)</definedName>
    <definedName name="B">EVULATE([2]計算!$D$4)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EVULATE([3]計算!#REF!)</definedName>
    <definedName name="DDESYS_LASTTRADE__1464">EVULATE([2]計算!$D$4)</definedName>
    <definedName name="GUpdate">0</definedName>
    <definedName name="_xlnm.Print_Titles" localSheetId="0">金融交易部資產交換選擇權報價表!$1:$7</definedName>
    <definedName name="RealizedRateTableTWD">'[4]Market Data'!$T$5:$AC$2633</definedName>
    <definedName name="Report_Flag" localSheetId="0">#REF!</definedName>
    <definedName name="SHD">EVULATE([2]計算!$D$4)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EVULATE([2]計算!$D$4)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EVULATE([3]計算!#REF!)</definedName>
    <definedName name="U">EVULATE([2]計算!$D$4)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3" i="1" l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C123" i="1" s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F123" i="1" l="1"/>
  <c r="G123" i="1" l="1"/>
  <c r="I123" i="1" s="1"/>
</calcChain>
</file>

<file path=xl/comments1.xml><?xml version="1.0" encoding="utf-8"?>
<comments xmlns="http://schemas.openxmlformats.org/spreadsheetml/2006/main">
  <authors>
    <author>楊孟華 EmmaYang (Yuanta)</author>
    <author>etta.lee</author>
  </authors>
  <commentList>
    <comment ref="V71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V83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18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華票200張3%
中信證200張2.6%</t>
        </r>
      </text>
    </comment>
    <comment ref="G123" authorId="1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<sst xmlns="http://schemas.openxmlformats.org/spreadsheetml/2006/main" count="513" uniqueCount="206">
  <si>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</si>
  <si>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</si>
  <si>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</si>
  <si>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</si>
  <si>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</si>
  <si>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</si>
  <si>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</si>
  <si>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</si>
  <si>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</si>
  <si>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</si>
  <si>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折現率</t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</si>
  <si>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</si>
  <si>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</si>
  <si>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</si>
  <si>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</si>
  <si>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</si>
  <si>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</si>
  <si>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</si>
  <si>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</si>
  <si>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</si>
  <si>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</si>
  <si>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發行張數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</si>
  <si>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</si>
  <si>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</si>
  <si>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</si>
  <si>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</si>
  <si>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spread</t>
    <phoneticPr fontId="9" type="noConversion"/>
  </si>
  <si>
    <t>無限制</t>
    <phoneticPr fontId="9" type="noConversion"/>
  </si>
  <si>
    <t>確認額度</t>
    <phoneticPr fontId="9" type="noConversion"/>
  </si>
  <si>
    <t>新日興三</t>
    <phoneticPr fontId="9" type="noConversion"/>
  </si>
  <si>
    <t>辛耘二</t>
    <phoneticPr fontId="9" type="noConversion"/>
  </si>
  <si>
    <t>權利金試算：</t>
    <phoneticPr fontId="9" type="noConversion"/>
  </si>
  <si>
    <t>代碼</t>
    <phoneticPr fontId="9" type="noConversion"/>
  </si>
  <si>
    <t>名稱</t>
    <phoneticPr fontId="9" type="noConversion"/>
  </si>
  <si>
    <t>折現率</t>
    <phoneticPr fontId="9" type="noConversion"/>
  </si>
  <si>
    <t>百元報價</t>
    <phoneticPr fontId="9" type="noConversion"/>
  </si>
  <si>
    <t>CB買入價格</t>
    <phoneticPr fontId="9" type="noConversion"/>
  </si>
  <si>
    <t>參考單張價格</t>
    <phoneticPr fontId="9" type="noConversion"/>
  </si>
  <si>
    <t>請輸入：</t>
    <phoneticPr fontId="9" type="noConversion"/>
  </si>
  <si>
    <t>請輸入藍色底欄位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</si>
  <si>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</si>
  <si>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</si>
  <si>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</si>
  <si>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</si>
  <si>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標楷體"/>
        <family val="4"/>
        <charset val="136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</si>
  <si>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8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</si>
  <si>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</si>
  <si>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</si>
  <si>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</si>
  <si>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</si>
  <si>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</si>
  <si>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</si>
  <si>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t>9.將自2025/8/28起，啟用二段價格事件條款（85元/70元），如有相關交易，請您務必留意條款異動內容。。</t>
    <phoneticPr fontId="8" type="noConversion"/>
  </si>
  <si>
    <t xml:space="preserve">10.最小承作及提解張數為10張或10張之整倍數。 </t>
    <phoneticPr fontId="9" type="noConversion"/>
  </si>
  <si>
    <t>NEXT PUT</t>
    <phoneticPr fontId="3" type="noConversion"/>
  </si>
  <si>
    <t>上曜六</t>
  </si>
  <si>
    <t>有，板信商業銀行股份有限公司</t>
  </si>
  <si>
    <t>8</t>
  </si>
  <si>
    <t>聚隆四</t>
  </si>
  <si>
    <t>有，台中商業銀行股份有限公司</t>
  </si>
  <si>
    <t>7</t>
  </si>
  <si>
    <t>三洋實業二</t>
  </si>
  <si>
    <t>6</t>
  </si>
  <si>
    <t>中砂一</t>
  </si>
  <si>
    <t>無</t>
  </si>
  <si>
    <t>4</t>
  </si>
  <si>
    <t>和勤四</t>
  </si>
  <si>
    <t>有，合作金庫商業銀行股份有限公司</t>
  </si>
  <si>
    <t>合世三</t>
  </si>
  <si>
    <t>有，華南商業銀行股份有限公司</t>
  </si>
  <si>
    <t>宇隆一</t>
  </si>
  <si>
    <t>汎德永業一</t>
  </si>
  <si>
    <t>汎德永業二</t>
  </si>
  <si>
    <t>雙鴻六</t>
  </si>
  <si>
    <t>金像電三</t>
  </si>
  <si>
    <t>3</t>
  </si>
  <si>
    <t>毅嘉三</t>
  </si>
  <si>
    <t>5</t>
  </si>
  <si>
    <t>美律四</t>
  </si>
  <si>
    <t>美律五</t>
  </si>
  <si>
    <t>全新二</t>
  </si>
  <si>
    <t>全新三</t>
  </si>
  <si>
    <t>志聖二</t>
  </si>
  <si>
    <t>志聖三</t>
  </si>
  <si>
    <t>鉅祥二</t>
  </si>
  <si>
    <t>皇普三</t>
  </si>
  <si>
    <t>有，元大商業銀行股份有限公司</t>
  </si>
  <si>
    <t>王品一</t>
  </si>
  <si>
    <t>八方雲集一</t>
  </si>
  <si>
    <t>八方雲集二</t>
  </si>
  <si>
    <t>晟銘電四</t>
  </si>
  <si>
    <t>有，兆豐國際商業銀行股份有限公司、中國信託商業銀行股份有限公司</t>
  </si>
  <si>
    <t>欣興一</t>
  </si>
  <si>
    <t>台灣大四</t>
  </si>
  <si>
    <t>2</t>
  </si>
  <si>
    <t>台灣大五</t>
  </si>
  <si>
    <t>及成四</t>
  </si>
  <si>
    <t>有，陽信商業銀行股份有限公司</t>
  </si>
  <si>
    <t>9</t>
  </si>
  <si>
    <t>弘塑一</t>
  </si>
  <si>
    <t>弘塑二</t>
  </si>
  <si>
    <t>威剛八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</si>
  <si>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</si>
  <si>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</si>
  <si>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</si>
  <si>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</si>
  <si>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</si>
  <si>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</si>
  <si>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</si>
  <si>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</si>
  <si>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融程電三</t>
  </si>
  <si>
    <t>安勤三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</si>
  <si>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</si>
  <si>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</si>
  <si>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</si>
  <si>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</si>
  <si>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</si>
  <si>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</si>
  <si>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凡甲七</t>
  </si>
  <si>
    <t>州巧一</t>
  </si>
  <si>
    <t>有，中國信託商業銀行</t>
  </si>
  <si>
    <t>世禾三</t>
  </si>
  <si>
    <t>辛耘一</t>
  </si>
  <si>
    <t>閎康二</t>
  </si>
  <si>
    <t>碩天三</t>
  </si>
  <si>
    <t>家登四</t>
  </si>
  <si>
    <t>碩禾三</t>
  </si>
  <si>
    <t>有，上海商業銀行、合作金庫商業銀行、彰化商業銀行</t>
  </si>
  <si>
    <t>上緯投控三</t>
  </si>
  <si>
    <t>有，第一商業銀行股份有限公司</t>
  </si>
  <si>
    <t>聯嘉投控一</t>
  </si>
  <si>
    <t>有，安泰商業銀行股份有限公司</t>
  </si>
  <si>
    <t>聯上五</t>
  </si>
  <si>
    <t>有，板信商業銀行</t>
  </si>
  <si>
    <t>晟德六</t>
  </si>
  <si>
    <t>有，永豐商業銀行股份有限公司忠孝分公司</t>
  </si>
  <si>
    <t>醣聯四</t>
  </si>
  <si>
    <t>有，臺灣土地銀行</t>
  </si>
  <si>
    <t>廣越三</t>
  </si>
  <si>
    <t>氣立四</t>
  </si>
  <si>
    <t>有，彰化商業銀行</t>
  </si>
  <si>
    <t>寶緯一</t>
  </si>
  <si>
    <t>國精化三</t>
  </si>
  <si>
    <t>康普三</t>
  </si>
  <si>
    <t>有，彰化商業銀行股份有限公司</t>
  </si>
  <si>
    <t>康普四</t>
  </si>
  <si>
    <t>正文六</t>
  </si>
  <si>
    <t>十銓四</t>
  </si>
  <si>
    <t>華星光三</t>
  </si>
  <si>
    <t>華星光四</t>
  </si>
  <si>
    <t>凱衛一</t>
  </si>
  <si>
    <t>有，兆豐國際商業銀行</t>
  </si>
  <si>
    <t>雷笛克光學三</t>
  </si>
  <si>
    <t>有，台北富邦商業銀行</t>
  </si>
  <si>
    <t>智崴五</t>
  </si>
  <si>
    <t>有，台中商業銀行</t>
  </si>
  <si>
    <t>桂盟四</t>
  </si>
  <si>
    <t>有，日商瑞穗銀行</t>
  </si>
  <si>
    <t>中磊七</t>
  </si>
  <si>
    <t>南良一</t>
  </si>
  <si>
    <t>四維航六</t>
  </si>
  <si>
    <t>有，陽信商業銀行</t>
  </si>
  <si>
    <t>四維航七</t>
  </si>
  <si>
    <t>萬潤五</t>
  </si>
  <si>
    <t>豐藝四</t>
  </si>
  <si>
    <t>天品三</t>
  </si>
  <si>
    <t>有，上海商業儲蓄銀行股份有限公司</t>
  </si>
  <si>
    <t>今國光三</t>
  </si>
  <si>
    <t>富旺四</t>
  </si>
  <si>
    <t>台燿五</t>
  </si>
  <si>
    <t>佳邦三</t>
  </si>
  <si>
    <t>易發一</t>
  </si>
  <si>
    <t>光聖二</t>
  </si>
  <si>
    <t>光聖三</t>
  </si>
  <si>
    <t>大樹三</t>
  </si>
  <si>
    <t>精測一</t>
  </si>
  <si>
    <t>易華電一</t>
  </si>
  <si>
    <t>南俊國際一</t>
  </si>
  <si>
    <t>鼎基一</t>
  </si>
  <si>
    <t>聚和六</t>
  </si>
  <si>
    <t>穎崴二</t>
  </si>
  <si>
    <t>萬年清一</t>
  </si>
  <si>
    <t>復盛應用二</t>
  </si>
  <si>
    <t>平和環保一創</t>
  </si>
  <si>
    <t>錼創科技一KY創</t>
  </si>
  <si>
    <t>尖點二</t>
  </si>
  <si>
    <t>博智一</t>
  </si>
  <si>
    <t>天宇四</t>
  </si>
  <si>
    <t>有，板信商業銀行、台中商業銀行</t>
  </si>
  <si>
    <t>勤誠二</t>
  </si>
  <si>
    <t>勤誠三</t>
  </si>
  <si>
    <t>朋程一</t>
  </si>
  <si>
    <t>群聯三</t>
  </si>
  <si>
    <t>百和興業一KY</t>
  </si>
  <si>
    <t>有，王道銀行、玉山銀行、安泰銀行、上海商銀、東亞銀行以、台新銀行</t>
  </si>
  <si>
    <t>福貞三KY</t>
  </si>
  <si>
    <t>有，玉山商業銀行股份有限公司</t>
  </si>
  <si>
    <t>威宏二KY</t>
  </si>
  <si>
    <t>有，台北富邦商業銀行股份有限公司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</si>
  <si>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</si>
  <si>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</si>
  <si>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</si>
  <si>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</si>
  <si>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</si>
  <si>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</si>
  <si>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宏全二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</si>
</sst>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7" formatCode="_(* #,##0.00_);_(* \(#,##0.00\);_(* &quot;-&quot;??_);_(@_)"/>
    <numFmt numFmtId="178" formatCode="_(* #,##0_);_(* \(#,##0\);_(* &quot;-&quot;??_);_(@_)"/>
    <numFmt numFmtId="179" formatCode="0.00_);[Red]\(0.00\)"/>
    <numFmt numFmtId="180" formatCode="yyyy/mm/dd"/>
    <numFmt numFmtId="181" formatCode="0.0000_ "/>
    <numFmt numFmtId="182" formatCode="0.00_ "/>
    <numFmt numFmtId="183" formatCode="#,##0_ "/>
    <numFmt numFmtId="186" formatCode="0_ "/>
  </numFmts>
  <fonts count="27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2"/>
      <color indexed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b/>
      <sz val="12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color theme="1"/>
      <name val="Calibri"/>
      <family val="2"/>
    </font>
    <font>
      <sz val="12"/>
      <color indexed="8"/>
      <name val="Calibri"/>
      <family val="2"/>
    </font>
    <font>
      <sz val="12"/>
      <color indexed="6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177" fontId="4" fillId="0" borderId="0" applyFont="0" applyFill="0" applyBorder="0" applyAlignment="0" applyProtection="0">
      <alignment vertical="center"/>
    </xf>
    <xf numFmtId="0" fontId="1" fillId="0" borderId="0"/>
    <xf numFmtId="0" fontId="4" fillId="0" borderId="0">
      <alignment vertical="center"/>
    </xf>
  </cellStyleXfs>
  <cellXfs count="102">
    <xf numFmtId="0" fontId="0" fillId="0" borderId="0" xfId="0"/>
    <xf numFmtId="0" fontId="2" fillId="0" borderId="0" xfId="2" applyNumberFormat="1" applyFont="1" applyFill="1" applyBorder="1" applyAlignment="1" applyProtection="1">
      <alignment horizontal="right" vertical="center"/>
      <protection hidden="1"/>
    </xf>
    <xf numFmtId="0" fontId="5" fillId="0" borderId="0" xfId="3" applyFont="1" applyAlignment="1">
      <alignment horizontal="left" vertical="center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right" vertical="center"/>
    </xf>
    <xf numFmtId="0" fontId="5" fillId="0" borderId="0" xfId="3" applyFont="1" applyFill="1" applyAlignment="1">
      <alignment vertical="center"/>
    </xf>
    <xf numFmtId="0" fontId="5" fillId="0" borderId="0" xfId="3" applyFont="1" applyAlignment="1">
      <alignment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14" fontId="7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right" vertical="center"/>
    </xf>
    <xf numFmtId="0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center" vertical="center"/>
    </xf>
    <xf numFmtId="178" fontId="5" fillId="0" borderId="0" xfId="1" applyNumberFormat="1" applyFont="1" applyAlignment="1">
      <alignment horizontal="center" vertical="center"/>
    </xf>
    <xf numFmtId="0" fontId="5" fillId="0" borderId="0" xfId="2" applyNumberFormat="1" applyFont="1" applyFill="1" applyBorder="1" applyAlignment="1" applyProtection="1">
      <alignment horizontal="center" vertical="center"/>
      <protection hidden="1"/>
    </xf>
    <xf numFmtId="14" fontId="5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Alignment="1">
      <alignment horizontal="center" vertical="center"/>
    </xf>
    <xf numFmtId="179" fontId="10" fillId="0" borderId="0" xfId="2" applyNumberFormat="1" applyFont="1" applyFill="1" applyBorder="1" applyAlignment="1" applyProtection="1">
      <alignment horizontal="left" vertical="center"/>
      <protection hidden="1"/>
    </xf>
    <xf numFmtId="0" fontId="2" fillId="0" borderId="0" xfId="2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horizontal="left" vertical="center"/>
      <protection hidden="1"/>
    </xf>
    <xf numFmtId="178" fontId="5" fillId="0" borderId="0" xfId="1" applyNumberFormat="1" applyFont="1" applyFill="1" applyAlignment="1">
      <alignment vertical="center"/>
    </xf>
    <xf numFmtId="14" fontId="11" fillId="0" borderId="0" xfId="2" applyNumberFormat="1" applyFont="1" applyFill="1" applyBorder="1" applyAlignment="1" applyProtection="1">
      <alignment horizontal="left" vertical="center"/>
      <protection locked="0" hidden="1"/>
    </xf>
    <xf numFmtId="14" fontId="11" fillId="0" borderId="0" xfId="2" applyNumberFormat="1" applyFont="1" applyFill="1" applyBorder="1" applyAlignment="1" applyProtection="1">
      <alignment horizontal="center" vertical="center"/>
      <protection locked="0" hidden="1"/>
    </xf>
    <xf numFmtId="0" fontId="12" fillId="2" borderId="1" xfId="2" applyFont="1" applyFill="1" applyBorder="1" applyAlignment="1" applyProtection="1">
      <alignment horizontal="left" vertical="center"/>
      <protection hidden="1"/>
    </xf>
    <xf numFmtId="0" fontId="12" fillId="2" borderId="1" xfId="2" applyFont="1" applyFill="1" applyBorder="1" applyAlignment="1" applyProtection="1">
      <alignment horizontal="center" vertical="center"/>
      <protection hidden="1"/>
    </xf>
    <xf numFmtId="49" fontId="12" fillId="2" borderId="1" xfId="2" applyNumberFormat="1" applyFont="1" applyFill="1" applyBorder="1" applyAlignment="1" applyProtection="1">
      <alignment horizontal="left" vertical="center"/>
      <protection hidden="1"/>
    </xf>
    <xf numFmtId="179" fontId="12" fillId="2" borderId="1" xfId="2" applyNumberFormat="1" applyFont="1" applyFill="1" applyBorder="1" applyAlignment="1" applyProtection="1">
      <alignment horizontal="left" vertical="center" wrapText="1"/>
      <protection hidden="1"/>
    </xf>
    <xf numFmtId="0" fontId="12" fillId="2" borderId="1" xfId="2" applyFont="1" applyFill="1" applyBorder="1" applyAlignment="1" applyProtection="1">
      <alignment horizontal="left" vertical="center" wrapText="1"/>
      <protection hidden="1"/>
    </xf>
    <xf numFmtId="178" fontId="12" fillId="2" borderId="1" xfId="1" applyNumberFormat="1" applyFont="1" applyFill="1" applyBorder="1" applyAlignment="1" applyProtection="1">
      <alignment horizontal="left" vertical="center"/>
      <protection hidden="1"/>
    </xf>
    <xf numFmtId="49" fontId="13" fillId="2" borderId="1" xfId="2" applyNumberFormat="1" applyFont="1" applyFill="1" applyBorder="1" applyAlignment="1" applyProtection="1">
      <alignment horizontal="center" vertical="center"/>
      <protection hidden="1"/>
    </xf>
    <xf numFmtId="14" fontId="13" fillId="2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Border="1" applyAlignment="1">
      <alignment horizontal="left" vertical="center"/>
    </xf>
    <xf numFmtId="0" fontId="13" fillId="0" borderId="0" xfId="3" applyFont="1" applyAlignment="1">
      <alignment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horizontal="left" vertical="center"/>
    </xf>
    <xf numFmtId="183" fontId="2" fillId="0" borderId="1" xfId="3" applyNumberFormat="1" applyFont="1" applyFill="1" applyBorder="1" applyAlignment="1">
      <alignment horizontal="left" vertical="center" wrapText="1"/>
    </xf>
    <xf numFmtId="183" fontId="2" fillId="0" borderId="1" xfId="3" applyNumberFormat="1" applyFont="1" applyFill="1" applyBorder="1" applyAlignment="1">
      <alignment horizontal="center" vertical="center" wrapText="1"/>
    </xf>
    <xf numFmtId="14" fontId="2" fillId="0" borderId="1" xfId="3" applyNumberFormat="1" applyFont="1" applyFill="1" applyBorder="1" applyAlignment="1">
      <alignment horizontal="center" vertical="center" wrapText="1"/>
    </xf>
    <xf numFmtId="10" fontId="5" fillId="0" borderId="0" xfId="3" applyNumberFormat="1" applyFont="1" applyFill="1" applyAlignment="1">
      <alignment vertical="center"/>
    </xf>
    <xf numFmtId="10" fontId="5" fillId="0" borderId="0" xfId="3" applyNumberFormat="1" applyFont="1" applyFill="1" applyAlignment="1">
      <alignment horizontal="right" vertical="center"/>
    </xf>
    <xf numFmtId="14" fontId="2" fillId="0" borderId="1" xfId="3" applyNumberFormat="1" applyFont="1" applyFill="1" applyBorder="1" applyAlignment="1">
      <alignment horizontal="left" vertical="center" wrapText="1"/>
    </xf>
    <xf numFmtId="0" fontId="5" fillId="4" borderId="1" xfId="3" applyFont="1" applyFill="1" applyBorder="1" applyAlignment="1">
      <alignment horizontal="left" vertical="center" wrapText="1"/>
    </xf>
    <xf numFmtId="0" fontId="2" fillId="0" borderId="0" xfId="2" applyNumberFormat="1" applyFont="1" applyFill="1" applyBorder="1" applyAlignment="1" applyProtection="1">
      <alignment vertical="center"/>
      <protection hidden="1"/>
    </xf>
    <xf numFmtId="0" fontId="2" fillId="0" borderId="0" xfId="2" applyNumberFormat="1" applyFont="1" applyFill="1" applyBorder="1" applyAlignment="1" applyProtection="1">
      <alignment horizontal="left" vertical="center"/>
      <protection hidden="1"/>
    </xf>
    <xf numFmtId="10" fontId="14" fillId="0" borderId="0" xfId="3" applyNumberFormat="1" applyFont="1" applyFill="1" applyBorder="1" applyAlignment="1">
      <alignment horizontal="right" vertical="center"/>
    </xf>
    <xf numFmtId="178" fontId="14" fillId="0" borderId="0" xfId="1" applyNumberFormat="1" applyFont="1" applyFill="1" applyBorder="1" applyAlignment="1">
      <alignment horizontal="right" vertical="center"/>
    </xf>
    <xf numFmtId="179" fontId="5" fillId="0" borderId="0" xfId="2" applyNumberFormat="1" applyFont="1" applyFill="1" applyBorder="1" applyAlignment="1" applyProtection="1">
      <alignment horizontal="left" vertical="center"/>
      <protection hidden="1"/>
    </xf>
    <xf numFmtId="179" fontId="5" fillId="0" borderId="0" xfId="2" applyNumberFormat="1" applyFont="1" applyFill="1" applyBorder="1" applyAlignment="1" applyProtection="1">
      <alignment horizontal="center" vertical="center"/>
      <protection hidden="1"/>
    </xf>
    <xf numFmtId="178" fontId="5" fillId="0" borderId="0" xfId="1" applyNumberFormat="1" applyFont="1" applyAlignment="1">
      <alignment vertical="center"/>
    </xf>
    <xf numFmtId="0" fontId="5" fillId="0" borderId="2" xfId="0" applyFont="1" applyBorder="1" applyAlignment="1">
      <alignment vertical="center"/>
    </xf>
    <xf numFmtId="0" fontId="15" fillId="5" borderId="3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178" fontId="5" fillId="0" borderId="0" xfId="1" applyNumberFormat="1" applyFont="1" applyFill="1" applyBorder="1" applyAlignment="1" applyProtection="1">
      <alignment horizontal="left" vertical="center"/>
      <protection hidden="1"/>
    </xf>
    <xf numFmtId="14" fontId="5" fillId="0" borderId="0" xfId="3" applyNumberFormat="1" applyFont="1" applyFill="1" applyAlignment="1">
      <alignment vertical="center"/>
    </xf>
    <xf numFmtId="0" fontId="5" fillId="3" borderId="2" xfId="0" applyFont="1" applyFill="1" applyBorder="1" applyAlignment="1">
      <alignment horizontal="right" vertical="center"/>
    </xf>
    <xf numFmtId="0" fontId="5" fillId="7" borderId="3" xfId="0" applyFont="1" applyFill="1" applyBorder="1" applyAlignment="1">
      <alignment horizontal="center" vertical="center"/>
    </xf>
    <xf numFmtId="10" fontId="16" fillId="0" borderId="0" xfId="3" applyNumberFormat="1" applyFont="1" applyFill="1" applyBorder="1" applyAlignment="1">
      <alignment horizontal="left" vertical="center"/>
    </xf>
    <xf numFmtId="179" fontId="5" fillId="0" borderId="0" xfId="2" applyNumberFormat="1" applyFont="1" applyFill="1" applyBorder="1" applyAlignment="1" applyProtection="1">
      <alignment vertical="center"/>
      <protection hidden="1"/>
    </xf>
    <xf numFmtId="178" fontId="5" fillId="0" borderId="0" xfId="1" applyNumberFormat="1" applyFont="1" applyFill="1" applyBorder="1" applyAlignment="1" applyProtection="1">
      <alignment vertical="center"/>
      <protection hidden="1"/>
    </xf>
    <xf numFmtId="0" fontId="17" fillId="0" borderId="0" xfId="2" applyNumberFormat="1" applyFont="1" applyFill="1" applyBorder="1" applyAlignment="1" applyProtection="1">
      <alignment vertical="center"/>
      <protection hidden="1"/>
    </xf>
    <xf numFmtId="178" fontId="2" fillId="0" borderId="0" xfId="1" applyNumberFormat="1" applyFont="1" applyFill="1" applyBorder="1" applyAlignment="1" applyProtection="1">
      <alignment vertical="center"/>
      <protection hidden="1"/>
    </xf>
    <xf numFmtId="14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vertical="center" wrapText="1"/>
    </xf>
    <xf numFmtId="179" fontId="5" fillId="0" borderId="0" xfId="3" applyNumberFormat="1" applyFont="1" applyAlignment="1">
      <alignment vertical="center" wrapText="1"/>
    </xf>
    <xf numFmtId="178" fontId="5" fillId="0" borderId="0" xfId="1" applyNumberFormat="1" applyFont="1" applyAlignment="1">
      <alignment vertical="center" wrapText="1"/>
    </xf>
    <xf numFmtId="0" fontId="5" fillId="0" borderId="0" xfId="3" applyFont="1" applyAlignment="1">
      <alignment horizontal="center" vertical="center" wrapText="1"/>
    </xf>
    <xf numFmtId="14" fontId="5" fillId="0" borderId="0" xfId="3" applyNumberFormat="1" applyFont="1" applyAlignment="1">
      <alignment horizontal="center" vertical="center" wrapText="1"/>
    </xf>
    <xf numFmtId="0" fontId="18" fillId="0" borderId="0" xfId="2" applyNumberFormat="1" applyFont="1" applyFill="1" applyBorder="1" applyAlignment="1" applyProtection="1">
      <alignment vertical="center"/>
      <protection hidden="1"/>
    </xf>
    <xf numFmtId="0" fontId="18" fillId="0" borderId="0" xfId="3" applyFont="1" applyAlignment="1">
      <alignment vertical="center"/>
    </xf>
    <xf numFmtId="179" fontId="18" fillId="0" borderId="0" xfId="3" applyNumberFormat="1" applyFont="1" applyAlignment="1">
      <alignment vertical="center"/>
    </xf>
    <xf numFmtId="178" fontId="18" fillId="0" borderId="0" xfId="1" applyNumberFormat="1" applyFont="1" applyAlignment="1">
      <alignment vertical="center"/>
    </xf>
    <xf numFmtId="0" fontId="6" fillId="0" borderId="0" xfId="3" applyFont="1" applyAlignment="1">
      <alignment horizontal="center" vertical="center"/>
    </xf>
    <xf numFmtId="14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0" fontId="6" fillId="0" borderId="0" xfId="3" applyFont="1" applyFill="1" applyAlignment="1">
      <alignment horizontal="right" vertical="center"/>
    </xf>
    <xf numFmtId="179" fontId="6" fillId="0" borderId="0" xfId="3" applyNumberFormat="1" applyFont="1" applyAlignment="1">
      <alignment vertical="center"/>
    </xf>
    <xf numFmtId="178" fontId="6" fillId="0" borderId="0" xfId="1" applyNumberFormat="1" applyFont="1" applyAlignment="1">
      <alignment vertical="center"/>
    </xf>
    <xf numFmtId="179" fontId="5" fillId="0" borderId="0" xfId="3" applyNumberFormat="1" applyFont="1" applyAlignment="1">
      <alignment vertical="center"/>
    </xf>
    <xf numFmtId="14" fontId="5" fillId="0" borderId="0" xfId="3" applyNumberFormat="1" applyFont="1" applyAlignment="1">
      <alignment horizontal="center" vertical="center"/>
    </xf>
    <xf numFmtId="14" fontId="5" fillId="0" borderId="0" xfId="3" applyNumberFormat="1" applyFont="1" applyFill="1" applyAlignment="1">
      <alignment horizontal="center" vertical="center"/>
    </xf>
    <xf numFmtId="0" fontId="22" fillId="0" borderId="1" xfId="3" applyFont="1" applyFill="1" applyBorder="1" applyAlignment="1">
      <alignment horizontal="left" vertical="center"/>
    </xf>
    <xf numFmtId="0" fontId="22" fillId="0" borderId="1" xfId="3" applyFont="1" applyFill="1" applyBorder="1" applyAlignment="1">
      <alignment horizontal="center" vertical="center" wrapText="1"/>
    </xf>
    <xf numFmtId="10" fontId="23" fillId="3" borderId="1" xfId="2" applyNumberFormat="1" applyFont="1" applyFill="1" applyBorder="1" applyAlignment="1" applyProtection="1">
      <alignment horizontal="center" vertical="center"/>
      <protection hidden="1"/>
    </xf>
    <xf numFmtId="10" fontId="24" fillId="3" borderId="1" xfId="3" applyNumberFormat="1" applyFont="1" applyFill="1" applyBorder="1" applyAlignment="1">
      <alignment horizontal="right" vertical="center"/>
    </xf>
    <xf numFmtId="180" fontId="25" fillId="0" borderId="1" xfId="3" applyNumberFormat="1" applyFont="1" applyFill="1" applyBorder="1" applyAlignment="1">
      <alignment horizontal="center" vertical="center" wrapText="1"/>
    </xf>
    <xf numFmtId="179" fontId="25" fillId="0" borderId="1" xfId="2" applyNumberFormat="1" applyFont="1" applyFill="1" applyBorder="1" applyAlignment="1" applyProtection="1">
      <alignment horizontal="center" vertical="center"/>
      <protection hidden="1"/>
    </xf>
    <xf numFmtId="181" fontId="25" fillId="0" borderId="1" xfId="3" applyNumberFormat="1" applyFont="1" applyFill="1" applyBorder="1" applyAlignment="1">
      <alignment horizontal="left" vertical="center" wrapText="1"/>
    </xf>
    <xf numFmtId="182" fontId="25" fillId="0" borderId="1" xfId="3" applyNumberFormat="1" applyFont="1" applyFill="1" applyBorder="1" applyAlignment="1">
      <alignment horizontal="center" vertical="center" wrapText="1"/>
    </xf>
    <xf numFmtId="10" fontId="22" fillId="0" borderId="1" xfId="3" applyNumberFormat="1" applyFont="1" applyFill="1" applyBorder="1" applyAlignment="1">
      <alignment horizontal="right" vertical="center"/>
    </xf>
    <xf numFmtId="182" fontId="22" fillId="0" borderId="1" xfId="3" applyNumberFormat="1" applyFont="1" applyFill="1" applyBorder="1" applyAlignment="1">
      <alignment horizontal="right" vertical="center"/>
    </xf>
    <xf numFmtId="9" fontId="22" fillId="0" borderId="1" xfId="3" applyNumberFormat="1" applyFont="1" applyFill="1" applyBorder="1" applyAlignment="1">
      <alignment horizontal="right" vertical="center"/>
    </xf>
    <xf numFmtId="183" fontId="23" fillId="3" borderId="1" xfId="3" applyNumberFormat="1" applyFont="1" applyFill="1" applyBorder="1" applyAlignment="1">
      <alignment horizontal="right" vertical="center" wrapText="1"/>
    </xf>
    <xf numFmtId="9" fontId="25" fillId="0" borderId="1" xfId="3" applyNumberFormat="1" applyFont="1" applyFill="1" applyBorder="1" applyAlignment="1">
      <alignment horizontal="right" vertical="center" wrapText="1"/>
    </xf>
    <xf numFmtId="178" fontId="25" fillId="0" borderId="1" xfId="1" applyNumberFormat="1" applyFont="1" applyFill="1" applyBorder="1" applyAlignment="1">
      <alignment horizontal="right" vertical="center" wrapText="1"/>
    </xf>
    <xf numFmtId="186" fontId="22" fillId="3" borderId="3" xfId="0" applyNumberFormat="1" applyFont="1" applyFill="1" applyBorder="1" applyAlignment="1">
      <alignment horizontal="center" vertical="center"/>
    </xf>
    <xf numFmtId="10" fontId="25" fillId="7" borderId="3" xfId="0" applyNumberFormat="1" applyFont="1" applyFill="1" applyBorder="1" applyAlignment="1">
      <alignment horizontal="center" vertical="center"/>
    </xf>
    <xf numFmtId="10" fontId="25" fillId="7" borderId="3" xfId="0" applyNumberFormat="1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/>
    </xf>
    <xf numFmtId="183" fontId="25" fillId="7" borderId="3" xfId="0" applyNumberFormat="1" applyFont="1" applyFill="1" applyBorder="1" applyAlignment="1">
      <alignment horizontal="center" vertical="center"/>
    </xf>
    <xf numFmtId="14" fontId="26" fillId="0" borderId="0" xfId="2" applyNumberFormat="1" applyFont="1" applyFill="1" applyBorder="1" applyAlignment="1" applyProtection="1">
      <alignment horizontal="left" vertical="center"/>
      <protection locked="0" hidden="1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130</xdr:row>
      <xdr:rowOff>0</xdr:rowOff>
    </xdr:from>
    <xdr:to>
      <xdr:col>4</xdr:col>
      <xdr:colOff>0</xdr:colOff>
      <xdr:row>130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60591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134</xdr:row>
      <xdr:rowOff>0</xdr:rowOff>
    </xdr:from>
    <xdr:to>
      <xdr:col>4</xdr:col>
      <xdr:colOff>0</xdr:colOff>
      <xdr:row>134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614553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130</xdr:row>
      <xdr:rowOff>0</xdr:rowOff>
    </xdr:from>
    <xdr:to>
      <xdr:col>4</xdr:col>
      <xdr:colOff>0</xdr:colOff>
      <xdr:row>130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60591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134</xdr:row>
      <xdr:rowOff>0</xdr:rowOff>
    </xdr:from>
    <xdr:to>
      <xdr:col>4</xdr:col>
      <xdr:colOff>0</xdr:colOff>
      <xdr:row>134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614553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130</xdr:row>
      <xdr:rowOff>0</xdr:rowOff>
    </xdr:from>
    <xdr:to>
      <xdr:col>4</xdr:col>
      <xdr:colOff>0</xdr:colOff>
      <xdr:row>130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60591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133</xdr:row>
      <xdr:rowOff>0</xdr:rowOff>
    </xdr:from>
    <xdr:to>
      <xdr:col>4</xdr:col>
      <xdr:colOff>0</xdr:colOff>
      <xdr:row>133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61239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130</xdr:row>
      <xdr:rowOff>0</xdr:rowOff>
    </xdr:from>
    <xdr:to>
      <xdr:col>4</xdr:col>
      <xdr:colOff>0</xdr:colOff>
      <xdr:row>130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60591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134</xdr:row>
      <xdr:rowOff>0</xdr:rowOff>
    </xdr:from>
    <xdr:to>
      <xdr:col>4</xdr:col>
      <xdr:colOff>0</xdr:colOff>
      <xdr:row>134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614553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130</xdr:row>
      <xdr:rowOff>0</xdr:rowOff>
    </xdr:from>
    <xdr:to>
      <xdr:col>4</xdr:col>
      <xdr:colOff>0</xdr:colOff>
      <xdr:row>130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60591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134</xdr:row>
      <xdr:rowOff>0</xdr:rowOff>
    </xdr:from>
    <xdr:to>
      <xdr:col>4</xdr:col>
      <xdr:colOff>0</xdr:colOff>
      <xdr:row>134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614553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130</xdr:row>
      <xdr:rowOff>0</xdr:rowOff>
    </xdr:from>
    <xdr:to>
      <xdr:col>4</xdr:col>
      <xdr:colOff>0</xdr:colOff>
      <xdr:row>130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60591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3.&#34893;&#29983;&#24615;&#21830;&#21697;&#32068;/7.&#36039;&#29986;&#20132;&#25563;/&#20449;&#29992;&#37096;&#20301;&#38989;&#2423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帳密"/>
      <sheetName val="參數設定"/>
      <sheetName val="view_event"/>
      <sheetName val="額度表"/>
      <sheetName val="金融交易部資產交換選擇權報價表"/>
      <sheetName val="ASO"/>
      <sheetName val="ASW"/>
      <sheetName val="OASW"/>
      <sheetName val="CLN"/>
      <sheetName val="ASO_E"/>
      <sheetName val="內部ASW"/>
      <sheetName val="內部OASW"/>
      <sheetName val="OD-怡芳"/>
      <sheetName val="OC-怡芳"/>
      <sheetName val="ASO (標的加總)"/>
      <sheetName val="TEJ"/>
      <sheetName val="評等對照"/>
      <sheetName val="波動率"/>
      <sheetName val="KY國別"/>
      <sheetName val="無擔保"/>
      <sheetName val="財報資料(CMONEY)"/>
      <sheetName val="轉換價調整"/>
      <sheetName val="基本資料(CMONEY)2"/>
      <sheetName val="流通餘額(週)"/>
      <sheetName val="擔保銀行及評等分布"/>
      <sheetName val="ASW交易對手及標的評等分布"/>
      <sheetName val="自留部位概況"/>
      <sheetName val="金融交易部資產交換credit報價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AR139"/>
  <sheetViews>
    <sheetView tabSelected="1" zoomScale="80" zoomScaleNormal="80" workbookViewId="0">
      <pane xSplit="4" ySplit="7" topLeftCell="E8" activePane="bottomRight" state="frozen"/>
      <selection activeCell="F233" sqref="F233"/>
      <selection pane="topRight" activeCell="F233" sqref="F233"/>
      <selection pane="bottomLeft" activeCell="F233" sqref="F233"/>
      <selection pane="bottomRight" activeCell="J12" sqref="J12"/>
    </sheetView>
  </sheetViews>
  <sheetFormatPr defaultColWidth="8.7265625" defaultRowHeight="17.25" customHeight="1" x14ac:dyDescent="0.4"/>
  <cols>
    <col min="1" max="1" width="15.08984375" style="6" customWidth="1"/>
    <col min="2" max="2" width="8.08984375" style="2" customWidth="1"/>
    <col min="3" max="3" width="19.26953125" style="2" customWidth="1"/>
    <col min="4" max="4" width="8.453125" style="6" bestFit="1" customWidth="1"/>
    <col min="5" max="5" width="14.453125" style="6" customWidth="1"/>
    <col min="6" max="6" width="11.1796875" style="5" customWidth="1"/>
    <col min="7" max="7" width="16.26953125" style="6" customWidth="1"/>
    <col min="8" max="8" width="13.08984375" style="6" customWidth="1"/>
    <col min="9" max="9" width="12.453125" style="79" customWidth="1"/>
    <col min="10" max="10" width="12.36328125" style="2" customWidth="1"/>
    <col min="11" max="11" width="11" style="2" customWidth="1"/>
    <col min="12" max="12" width="12.6328125" style="5" customWidth="1"/>
    <col min="13" max="13" width="11.08984375" style="5" customWidth="1"/>
    <col min="14" max="14" width="11" style="5" customWidth="1"/>
    <col min="15" max="15" width="12.6328125" style="5" customWidth="1"/>
    <col min="16" max="16" width="11.453125" style="5" customWidth="1"/>
    <col min="17" max="17" width="15" style="21" customWidth="1"/>
    <col min="18" max="18" width="16.08984375" style="5" customWidth="1"/>
    <col min="19" max="19" width="13.453125" style="3" customWidth="1"/>
    <col min="20" max="20" width="12.08984375" style="16" customWidth="1"/>
    <col min="21" max="21" width="18.90625" style="81" customWidth="1"/>
    <col min="22" max="22" width="8.90625" style="6" hidden="1" customWidth="1"/>
    <col min="23" max="23" width="9.6328125" style="10" hidden="1" customWidth="1"/>
    <col min="24" max="16384" width="8.7265625" style="6"/>
  </cols>
  <sheetData>
    <row r="1" spans="1:23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</row>
    <row r="2" spans="1:23" ht="17.25" customHeight="1" x14ac:dyDescent="0.4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8"/>
      <c r="U2" s="9"/>
    </row>
    <row r="3" spans="1:23" ht="17.25" customHeight="1" x14ac:dyDescent="0.4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  <c r="U3" s="9"/>
    </row>
    <row r="4" spans="1:23" ht="17.25" customHeight="1" x14ac:dyDescent="0.4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8"/>
      <c r="U4" s="9"/>
    </row>
    <row r="5" spans="1:23" s="12" customFormat="1" ht="17.25" customHeight="1" x14ac:dyDescent="0.4">
      <c r="A5" s="11"/>
      <c r="C5" s="11"/>
      <c r="E5" s="11"/>
      <c r="F5" s="11"/>
      <c r="H5" s="11"/>
      <c r="J5" s="11"/>
      <c r="M5" s="11"/>
      <c r="O5" s="11"/>
      <c r="Q5" s="13"/>
      <c r="R5" s="11"/>
      <c r="T5" s="14"/>
      <c r="U5" s="15"/>
    </row>
    <row r="6" spans="1:23" ht="17.25" customHeight="1" x14ac:dyDescent="0.4">
      <c r="A6" s="17"/>
      <c r="B6" s="17" t="s">
        <v>4</v>
      </c>
      <c r="C6" s="101">
        <v>46097</v>
      </c>
      <c r="H6" s="18"/>
      <c r="I6" s="19"/>
      <c r="J6" s="20"/>
      <c r="K6" s="20"/>
      <c r="S6" s="22"/>
      <c r="T6" s="23" t="s">
        <v>3</v>
      </c>
      <c r="U6" s="23"/>
    </row>
    <row r="7" spans="1:23" s="33" customFormat="1" ht="18" customHeight="1" x14ac:dyDescent="0.4">
      <c r="A7" s="24" t="s">
        <v>5</v>
      </c>
      <c r="B7" s="24" t="s">
        <v>6</v>
      </c>
      <c r="C7" s="24" t="s">
        <v>7</v>
      </c>
      <c r="D7" s="24" t="s">
        <v>8</v>
      </c>
      <c r="E7" s="25" t="s">
        <v>9</v>
      </c>
      <c r="F7" s="26" t="s">
        <v>10</v>
      </c>
      <c r="G7" s="25" t="s">
        <v>11</v>
      </c>
      <c r="H7" s="24" t="s">
        <v>12</v>
      </c>
      <c r="I7" s="27" t="s">
        <v>13</v>
      </c>
      <c r="J7" s="28" t="s">
        <v>14</v>
      </c>
      <c r="K7" s="26" t="s">
        <v>15</v>
      </c>
      <c r="L7" s="26" t="s">
        <v>16</v>
      </c>
      <c r="M7" s="26" t="s">
        <v>17</v>
      </c>
      <c r="N7" s="26" t="s">
        <v>18</v>
      </c>
      <c r="O7" s="26" t="s">
        <v>19</v>
      </c>
      <c r="P7" s="26" t="s">
        <v>20</v>
      </c>
      <c r="Q7" s="29" t="s">
        <v>21</v>
      </c>
      <c r="R7" s="26" t="s">
        <v>22</v>
      </c>
      <c r="S7" s="26" t="s">
        <v>23</v>
      </c>
      <c r="T7" s="30" t="s">
        <v>24</v>
      </c>
      <c r="U7" s="31" t="s">
        <v>25</v>
      </c>
      <c r="V7" s="6"/>
      <c r="W7" s="2" t="s">
        <v>26</v>
      </c>
    </row>
    <row r="8" spans="1:23" s="5" customFormat="1" ht="17.25" customHeight="1" x14ac:dyDescent="0.4">
      <c r="A8" s="34" t="s">
        <v>55</v>
      </c>
      <c r="B8" s="82">
        <v>13166</v>
      </c>
      <c r="C8" s="35" t="s">
        <v>56</v>
      </c>
      <c r="D8" s="83" t="s">
        <v>57</v>
      </c>
      <c r="E8" s="84">
        <v>1.6899999999999998E-2</v>
      </c>
      <c r="F8" s="85">
        <v>2.4E-2</v>
      </c>
      <c r="G8" s="86">
        <v>46370</v>
      </c>
      <c r="H8" s="86">
        <v>46383</v>
      </c>
      <c r="I8" s="87">
        <v>0.78356164383561644</v>
      </c>
      <c r="J8" s="88">
        <v>100.5</v>
      </c>
      <c r="K8" s="89">
        <v>17.399999999999999</v>
      </c>
      <c r="L8" s="90">
        <v>0.7385057471264368</v>
      </c>
      <c r="M8" s="91">
        <v>105.5</v>
      </c>
      <c r="N8" s="92">
        <v>0.4285603112840467</v>
      </c>
      <c r="O8" s="93">
        <v>7189.9999999999991</v>
      </c>
      <c r="P8" s="94">
        <v>1</v>
      </c>
      <c r="Q8" s="95">
        <v>4000</v>
      </c>
      <c r="R8" s="94">
        <v>0.24199999999999999</v>
      </c>
      <c r="S8" s="36" t="s">
        <v>27</v>
      </c>
      <c r="T8" s="37"/>
      <c r="U8" s="41"/>
      <c r="V8" s="39" t="str">
        <f>A8</f>
        <v>上曜六</v>
      </c>
      <c r="W8" s="40">
        <v>3.0000000000000001E-3</v>
      </c>
    </row>
    <row r="9" spans="1:23" s="5" customFormat="1" ht="17.25" customHeight="1" x14ac:dyDescent="0.4">
      <c r="A9" s="34" t="s">
        <v>58</v>
      </c>
      <c r="B9" s="82">
        <v>14664</v>
      </c>
      <c r="C9" s="35" t="s">
        <v>59</v>
      </c>
      <c r="D9" s="83" t="s">
        <v>60</v>
      </c>
      <c r="E9" s="84">
        <v>5.7400000000000007E-2</v>
      </c>
      <c r="F9" s="85">
        <v>2.4E-2</v>
      </c>
      <c r="G9" s="86">
        <v>46910</v>
      </c>
      <c r="H9" s="86">
        <v>46924</v>
      </c>
      <c r="I9" s="87">
        <v>2.2657534246575342</v>
      </c>
      <c r="J9" s="88">
        <v>100</v>
      </c>
      <c r="K9" s="89">
        <v>18.8</v>
      </c>
      <c r="L9" s="90">
        <v>0.9228723404255319</v>
      </c>
      <c r="M9" s="91">
        <v>107</v>
      </c>
      <c r="N9" s="92">
        <v>0.15942363112391927</v>
      </c>
      <c r="O9" s="93">
        <v>12740.000000000002</v>
      </c>
      <c r="P9" s="94">
        <v>1</v>
      </c>
      <c r="Q9" s="95">
        <v>4000</v>
      </c>
      <c r="R9" s="94">
        <v>0.39900000000000002</v>
      </c>
      <c r="S9" s="36" t="s">
        <v>27</v>
      </c>
      <c r="T9" s="37"/>
      <c r="U9" s="41"/>
      <c r="V9" s="39" t="str">
        <f>A9</f>
        <v>聚隆四</v>
      </c>
      <c r="W9" s="40">
        <v>3.0000000000000001E-3</v>
      </c>
    </row>
    <row r="10" spans="1:23" s="5" customFormat="1" ht="17.25" customHeight="1" x14ac:dyDescent="0.4">
      <c r="A10" s="34" t="s">
        <v>61</v>
      </c>
      <c r="B10" s="82">
        <v>14722</v>
      </c>
      <c r="C10" s="35" t="s">
        <v>59</v>
      </c>
      <c r="D10" s="83" t="s">
        <v>62</v>
      </c>
      <c r="E10" s="84">
        <v>2.1899999999999999E-2</v>
      </c>
      <c r="F10" s="85">
        <v>2.4E-2</v>
      </c>
      <c r="G10" s="86">
        <v>46524</v>
      </c>
      <c r="H10" s="86">
        <v>46536</v>
      </c>
      <c r="I10" s="87">
        <v>1.2027397260273973</v>
      </c>
      <c r="J10" s="88">
        <v>101.0025</v>
      </c>
      <c r="K10" s="89">
        <v>98.6</v>
      </c>
      <c r="L10" s="90">
        <v>0.92900608519269778</v>
      </c>
      <c r="M10" s="91">
        <v>103.35</v>
      </c>
      <c r="N10" s="92">
        <v>0.11247925764192129</v>
      </c>
      <c r="O10" s="93">
        <v>5539.9999999999945</v>
      </c>
      <c r="P10" s="94">
        <v>1</v>
      </c>
      <c r="Q10" s="95">
        <v>3000</v>
      </c>
      <c r="R10" s="94">
        <v>0.154</v>
      </c>
      <c r="S10" s="36" t="s">
        <v>27</v>
      </c>
      <c r="T10" s="37"/>
      <c r="U10" s="41"/>
      <c r="V10" s="39" t="str">
        <f>A10</f>
        <v>三洋實業二</v>
      </c>
      <c r="W10" s="40">
        <v>3.0000000000000001E-3</v>
      </c>
    </row>
    <row r="11" spans="1:23" s="5" customFormat="1" ht="17.25" customHeight="1" x14ac:dyDescent="0.4">
      <c r="A11" s="34" t="s">
        <v>63</v>
      </c>
      <c r="B11" s="82">
        <v>15601</v>
      </c>
      <c r="C11" s="35" t="s">
        <v>64</v>
      </c>
      <c r="D11" s="83" t="s">
        <v>65</v>
      </c>
      <c r="E11" s="84">
        <v>4.1300000000000003E-2</v>
      </c>
      <c r="F11" s="85">
        <v>0.03</v>
      </c>
      <c r="G11" s="86">
        <v>46548</v>
      </c>
      <c r="H11" s="86">
        <v>46562</v>
      </c>
      <c r="I11" s="87">
        <v>1.273972602739726</v>
      </c>
      <c r="J11" s="88">
        <v>100</v>
      </c>
      <c r="K11" s="89">
        <v>284.60000000000002</v>
      </c>
      <c r="L11" s="90">
        <v>1.6198172874209416</v>
      </c>
      <c r="M11" s="91">
        <v>159</v>
      </c>
      <c r="N11" s="92">
        <v>-1.8407809110629038E-2</v>
      </c>
      <c r="O11" s="93">
        <v>63130</v>
      </c>
      <c r="P11" s="94">
        <v>1</v>
      </c>
      <c r="Q11" s="95">
        <v>10000</v>
      </c>
      <c r="R11" s="94">
        <v>0.32</v>
      </c>
      <c r="S11" s="36" t="s">
        <v>27</v>
      </c>
      <c r="T11" s="37"/>
      <c r="U11" s="38"/>
      <c r="V11" s="39" t="str">
        <f>A11</f>
        <v>中砂一</v>
      </c>
      <c r="W11" s="40">
        <v>3.0000000000000001E-3</v>
      </c>
    </row>
    <row r="12" spans="1:23" s="5" customFormat="1" ht="17.25" customHeight="1" x14ac:dyDescent="0.4">
      <c r="A12" s="34" t="s">
        <v>66</v>
      </c>
      <c r="B12" s="82">
        <v>15864</v>
      </c>
      <c r="C12" s="35" t="s">
        <v>67</v>
      </c>
      <c r="D12" s="83" t="s">
        <v>57</v>
      </c>
      <c r="E12" s="84">
        <v>1.3600000000000001E-2</v>
      </c>
      <c r="F12" s="85">
        <v>2.3E-2</v>
      </c>
      <c r="G12" s="86">
        <v>46251</v>
      </c>
      <c r="H12" s="86">
        <v>46264</v>
      </c>
      <c r="I12" s="87">
        <v>0.45753424657534247</v>
      </c>
      <c r="J12" s="88">
        <v>100</v>
      </c>
      <c r="K12" s="89">
        <v>30.74</v>
      </c>
      <c r="L12" s="90">
        <v>0.74821080026024722</v>
      </c>
      <c r="M12" s="91">
        <v>102.4</v>
      </c>
      <c r="N12" s="92">
        <v>0.36859826086956543</v>
      </c>
      <c r="O12" s="93">
        <v>3760.0000000000059</v>
      </c>
      <c r="P12" s="94">
        <v>1</v>
      </c>
      <c r="Q12" s="95">
        <v>2000</v>
      </c>
      <c r="R12" s="94">
        <v>0.39900000000000002</v>
      </c>
      <c r="S12" s="36" t="s">
        <v>27</v>
      </c>
      <c r="T12" s="37"/>
      <c r="U12" s="41"/>
      <c r="V12" s="39" t="str">
        <f>A12</f>
        <v>和勤四</v>
      </c>
      <c r="W12" s="40">
        <v>3.0000000000000001E-3</v>
      </c>
    </row>
    <row r="13" spans="1:23" s="5" customFormat="1" ht="17.25" customHeight="1" x14ac:dyDescent="0.4">
      <c r="A13" s="34" t="s">
        <v>68</v>
      </c>
      <c r="B13" s="82">
        <v>17813</v>
      </c>
      <c r="C13" s="35" t="s">
        <v>69</v>
      </c>
      <c r="D13" s="83" t="s">
        <v>60</v>
      </c>
      <c r="E13" s="84">
        <v>3.8100000000000009E-2</v>
      </c>
      <c r="F13" s="85">
        <v>2.3E-2</v>
      </c>
      <c r="G13" s="86">
        <v>46640</v>
      </c>
      <c r="H13" s="86">
        <v>46654</v>
      </c>
      <c r="I13" s="87">
        <v>1.526027397260274</v>
      </c>
      <c r="J13" s="88">
        <v>100</v>
      </c>
      <c r="K13" s="89">
        <v>18</v>
      </c>
      <c r="L13" s="90">
        <v>0.68888888888888888</v>
      </c>
      <c r="M13" s="91">
        <v>101.95</v>
      </c>
      <c r="N13" s="92">
        <v>0.47991935483870979</v>
      </c>
      <c r="O13" s="93">
        <v>5760.0000000000036</v>
      </c>
      <c r="P13" s="94">
        <v>1</v>
      </c>
      <c r="Q13" s="95">
        <v>2000</v>
      </c>
      <c r="R13" s="94">
        <v>0.52500000000000002</v>
      </c>
      <c r="S13" s="36" t="s">
        <v>27</v>
      </c>
      <c r="T13" s="37"/>
      <c r="U13" s="41"/>
      <c r="V13" s="39" t="str">
        <f>A13</f>
        <v>合世三</v>
      </c>
      <c r="W13" s="40">
        <v>3.0000000000000001E-3</v>
      </c>
    </row>
    <row r="14" spans="1:23" s="5" customFormat="1" ht="17.25" customHeight="1" x14ac:dyDescent="0.4">
      <c r="A14" s="34" t="s">
        <v>70</v>
      </c>
      <c r="B14" s="82">
        <v>22331</v>
      </c>
      <c r="C14" s="35" t="s">
        <v>64</v>
      </c>
      <c r="D14" s="83" t="s">
        <v>65</v>
      </c>
      <c r="E14" s="84">
        <v>8.8900000000000007E-2</v>
      </c>
      <c r="F14" s="85">
        <v>0.03</v>
      </c>
      <c r="G14" s="86">
        <v>47127</v>
      </c>
      <c r="H14" s="86">
        <v>47141</v>
      </c>
      <c r="I14" s="87">
        <v>2.8602739726027395</v>
      </c>
      <c r="J14" s="88">
        <v>100</v>
      </c>
      <c r="K14" s="89">
        <v>250</v>
      </c>
      <c r="L14" s="90">
        <v>0.91600000000000004</v>
      </c>
      <c r="M14" s="91">
        <v>122</v>
      </c>
      <c r="N14" s="92">
        <v>0.33187772925764181</v>
      </c>
      <c r="O14" s="93">
        <v>30890</v>
      </c>
      <c r="P14" s="94">
        <v>1</v>
      </c>
      <c r="Q14" s="95">
        <v>13000</v>
      </c>
      <c r="R14" s="94">
        <v>0.84299999999999997</v>
      </c>
      <c r="S14" s="36" t="s">
        <v>27</v>
      </c>
      <c r="T14" s="37" t="s">
        <v>3</v>
      </c>
      <c r="U14" s="41"/>
      <c r="V14" s="39" t="str">
        <f>A14</f>
        <v>宇隆一</v>
      </c>
      <c r="W14" s="40">
        <v>3.0000000000000001E-3</v>
      </c>
    </row>
    <row r="15" spans="1:23" s="5" customFormat="1" ht="17.25" customHeight="1" x14ac:dyDescent="0.4">
      <c r="A15" s="34" t="s">
        <v>71</v>
      </c>
      <c r="B15" s="82">
        <v>22471</v>
      </c>
      <c r="C15" s="35" t="s">
        <v>64</v>
      </c>
      <c r="D15" s="83" t="s">
        <v>65</v>
      </c>
      <c r="E15" s="84">
        <v>6.4700000000000008E-2</v>
      </c>
      <c r="F15" s="85">
        <v>2.7E-2</v>
      </c>
      <c r="G15" s="86">
        <v>46916</v>
      </c>
      <c r="H15" s="86">
        <v>46930</v>
      </c>
      <c r="I15" s="87">
        <v>2.2821917808219179</v>
      </c>
      <c r="J15" s="88">
        <v>100</v>
      </c>
      <c r="K15" s="89">
        <v>282.8</v>
      </c>
      <c r="L15" s="90">
        <v>0.85572842998585574</v>
      </c>
      <c r="M15" s="91">
        <v>102.15</v>
      </c>
      <c r="N15" s="92">
        <v>0.19371983471074389</v>
      </c>
      <c r="O15" s="93">
        <v>8620.0000000000073</v>
      </c>
      <c r="P15" s="94">
        <v>1</v>
      </c>
      <c r="Q15" s="95">
        <v>10000</v>
      </c>
      <c r="R15" s="94">
        <v>0.26600000000000001</v>
      </c>
      <c r="S15" s="36" t="s">
        <v>27</v>
      </c>
      <c r="T15" s="37" t="s">
        <v>3</v>
      </c>
      <c r="U15" s="41"/>
      <c r="V15" s="39" t="str">
        <f>A15</f>
        <v>汎德永業一</v>
      </c>
      <c r="W15" s="40">
        <v>3.0000000000000001E-3</v>
      </c>
    </row>
    <row r="16" spans="1:23" s="5" customFormat="1" ht="17.25" customHeight="1" x14ac:dyDescent="0.4">
      <c r="A16" s="34" t="s">
        <v>72</v>
      </c>
      <c r="B16" s="82">
        <v>22472</v>
      </c>
      <c r="C16" s="35" t="s">
        <v>64</v>
      </c>
      <c r="D16" s="83" t="s">
        <v>65</v>
      </c>
      <c r="E16" s="84">
        <v>6.5000000000000002E-2</v>
      </c>
      <c r="F16" s="85">
        <v>2.7E-2</v>
      </c>
      <c r="G16" s="86">
        <v>46920</v>
      </c>
      <c r="H16" s="86">
        <v>46934</v>
      </c>
      <c r="I16" s="87">
        <v>2.2931506849315069</v>
      </c>
      <c r="J16" s="88">
        <v>100</v>
      </c>
      <c r="K16" s="89">
        <v>273.8</v>
      </c>
      <c r="L16" s="90">
        <v>0.88385682980277569</v>
      </c>
      <c r="M16" s="91">
        <v>103.25</v>
      </c>
      <c r="N16" s="92">
        <v>0.16817561983471088</v>
      </c>
      <c r="O16" s="93">
        <v>9750</v>
      </c>
      <c r="P16" s="94">
        <v>1</v>
      </c>
      <c r="Q16" s="95">
        <v>10000</v>
      </c>
      <c r="R16" s="94">
        <v>0.26600000000000001</v>
      </c>
      <c r="S16" s="36" t="s">
        <v>27</v>
      </c>
      <c r="T16" s="37" t="s">
        <v>3</v>
      </c>
      <c r="U16" s="41"/>
      <c r="V16" s="39" t="str">
        <f>A16</f>
        <v>汎德永業二</v>
      </c>
      <c r="W16" s="40">
        <v>3.0000000000000001E-3</v>
      </c>
    </row>
    <row r="17" spans="1:23" s="5" customFormat="1" ht="17.25" customHeight="1" x14ac:dyDescent="0.4">
      <c r="A17" s="34" t="s">
        <v>73</v>
      </c>
      <c r="B17" s="82">
        <v>33246</v>
      </c>
      <c r="C17" s="35" t="s">
        <v>64</v>
      </c>
      <c r="D17" s="83" t="s">
        <v>65</v>
      </c>
      <c r="E17" s="84">
        <v>7.690000000000001E-2</v>
      </c>
      <c r="F17" s="85">
        <v>0.03</v>
      </c>
      <c r="G17" s="86">
        <v>47165</v>
      </c>
      <c r="H17" s="86">
        <v>47179</v>
      </c>
      <c r="I17" s="87">
        <v>2.9643835616438357</v>
      </c>
      <c r="J17" s="88">
        <v>101.50749999999999</v>
      </c>
      <c r="K17" s="89">
        <v>1124</v>
      </c>
      <c r="L17" s="90">
        <v>0.95195729537366547</v>
      </c>
      <c r="M17" s="91">
        <v>141</v>
      </c>
      <c r="N17" s="92">
        <v>0.48115887850467293</v>
      </c>
      <c r="O17" s="93">
        <v>48690</v>
      </c>
      <c r="P17" s="94">
        <v>1</v>
      </c>
      <c r="Q17" s="95">
        <v>30000</v>
      </c>
      <c r="R17" s="94">
        <v>0.49099999999999999</v>
      </c>
      <c r="S17" s="36" t="s">
        <v>27</v>
      </c>
      <c r="T17" s="37"/>
      <c r="U17" s="41"/>
      <c r="V17" s="39" t="str">
        <f>A17</f>
        <v>雙鴻六</v>
      </c>
      <c r="W17" s="40">
        <v>3.0000000000000001E-3</v>
      </c>
    </row>
    <row r="18" spans="1:23" s="5" customFormat="1" ht="17.25" customHeight="1" x14ac:dyDescent="0.4">
      <c r="A18" s="34" t="s">
        <v>74</v>
      </c>
      <c r="B18" s="82">
        <v>23683</v>
      </c>
      <c r="C18" s="35" t="s">
        <v>64</v>
      </c>
      <c r="D18" s="83" t="s">
        <v>75</v>
      </c>
      <c r="E18" s="84">
        <v>7.0400000000000004E-2</v>
      </c>
      <c r="F18" s="85">
        <v>2.5000000000000001E-2</v>
      </c>
      <c r="G18" s="86">
        <v>47067</v>
      </c>
      <c r="H18" s="86">
        <v>47081</v>
      </c>
      <c r="I18" s="87">
        <v>2.6958904109589041</v>
      </c>
      <c r="J18" s="88">
        <v>100</v>
      </c>
      <c r="K18" s="89">
        <v>450</v>
      </c>
      <c r="L18" s="90">
        <v>2.1311111111111112</v>
      </c>
      <c r="M18" s="91">
        <v>213</v>
      </c>
      <c r="N18" s="92">
        <v>-5.2137643378520767E-4</v>
      </c>
      <c r="O18" s="93">
        <v>120039.99999999999</v>
      </c>
      <c r="P18" s="94">
        <v>0.87388888888888894</v>
      </c>
      <c r="Q18" s="95">
        <v>90000</v>
      </c>
      <c r="R18" s="94">
        <v>0.66900000000000004</v>
      </c>
      <c r="S18" s="36" t="s">
        <v>28</v>
      </c>
      <c r="T18" s="37" t="s">
        <v>3</v>
      </c>
      <c r="U18" s="41"/>
      <c r="V18" s="39" t="str">
        <f>A18</f>
        <v>金像電三</v>
      </c>
      <c r="W18" s="40">
        <v>3.0000000000000001E-3</v>
      </c>
    </row>
    <row r="19" spans="1:23" s="5" customFormat="1" ht="17.25" customHeight="1" x14ac:dyDescent="0.4">
      <c r="A19" s="34" t="s">
        <v>76</v>
      </c>
      <c r="B19" s="82">
        <v>24023</v>
      </c>
      <c r="C19" s="35" t="s">
        <v>64</v>
      </c>
      <c r="D19" s="83" t="s">
        <v>77</v>
      </c>
      <c r="E19" s="84">
        <v>5.3400000000000003E-2</v>
      </c>
      <c r="F19" s="85">
        <v>0.03</v>
      </c>
      <c r="G19" s="86">
        <v>46696</v>
      </c>
      <c r="H19" s="86">
        <v>46710</v>
      </c>
      <c r="I19" s="87">
        <v>1.6794520547945206</v>
      </c>
      <c r="J19" s="88">
        <v>100</v>
      </c>
      <c r="K19" s="89">
        <v>55</v>
      </c>
      <c r="L19" s="90">
        <v>0.93090909090909091</v>
      </c>
      <c r="M19" s="91">
        <v>121.95</v>
      </c>
      <c r="N19" s="92">
        <v>0.31000976562499999</v>
      </c>
      <c r="O19" s="93">
        <v>27290.000000000004</v>
      </c>
      <c r="P19" s="94">
        <v>1</v>
      </c>
      <c r="Q19" s="95">
        <v>10000</v>
      </c>
      <c r="R19" s="94">
        <v>0.441</v>
      </c>
      <c r="S19" s="36" t="s">
        <v>28</v>
      </c>
      <c r="T19" s="37" t="s">
        <v>3</v>
      </c>
      <c r="U19" s="41"/>
      <c r="V19" s="39" t="str">
        <f>A19</f>
        <v>毅嘉三</v>
      </c>
      <c r="W19" s="40">
        <v>3.0000000000000001E-3</v>
      </c>
    </row>
    <row r="20" spans="1:23" s="5" customFormat="1" ht="17.25" customHeight="1" x14ac:dyDescent="0.4">
      <c r="A20" s="34" t="s">
        <v>78</v>
      </c>
      <c r="B20" s="82">
        <v>24394</v>
      </c>
      <c r="C20" s="35" t="s">
        <v>64</v>
      </c>
      <c r="D20" s="83" t="s">
        <v>75</v>
      </c>
      <c r="E20" s="84">
        <v>3.6000000000000004E-2</v>
      </c>
      <c r="F20" s="85">
        <v>2.5000000000000001E-2</v>
      </c>
      <c r="G20" s="86">
        <v>46566</v>
      </c>
      <c r="H20" s="86">
        <v>46578</v>
      </c>
      <c r="I20" s="87">
        <v>1.3178082191780822</v>
      </c>
      <c r="J20" s="88">
        <v>100</v>
      </c>
      <c r="K20" s="89">
        <v>128.9</v>
      </c>
      <c r="L20" s="90">
        <v>0.6516679596586501</v>
      </c>
      <c r="M20" s="91">
        <v>102</v>
      </c>
      <c r="N20" s="92">
        <v>0.56521428571428589</v>
      </c>
      <c r="O20" s="93">
        <v>5600.0000000000009</v>
      </c>
      <c r="P20" s="94">
        <v>1</v>
      </c>
      <c r="Q20" s="95">
        <v>25000</v>
      </c>
      <c r="R20" s="94">
        <v>0.33200000000000002</v>
      </c>
      <c r="S20" s="36" t="s">
        <v>27</v>
      </c>
      <c r="T20" s="37" t="s">
        <v>3</v>
      </c>
      <c r="U20" s="41"/>
      <c r="V20" s="39" t="str">
        <f>A20</f>
        <v>美律四</v>
      </c>
      <c r="W20" s="40">
        <v>3.0000000000000001E-3</v>
      </c>
    </row>
    <row r="21" spans="1:23" s="5" customFormat="1" ht="15.75" customHeight="1" x14ac:dyDescent="0.4">
      <c r="A21" s="34" t="s">
        <v>79</v>
      </c>
      <c r="B21" s="82">
        <v>24395</v>
      </c>
      <c r="C21" s="35" t="s">
        <v>64</v>
      </c>
      <c r="D21" s="83" t="s">
        <v>75</v>
      </c>
      <c r="E21" s="84">
        <v>3.6800000000000006E-2</v>
      </c>
      <c r="F21" s="85">
        <v>2.5000000000000001E-2</v>
      </c>
      <c r="G21" s="86">
        <v>46576</v>
      </c>
      <c r="H21" s="86">
        <v>46590</v>
      </c>
      <c r="I21" s="87">
        <v>1.3506849315068492</v>
      </c>
      <c r="J21" s="88">
        <v>100</v>
      </c>
      <c r="K21" s="89">
        <v>125.2</v>
      </c>
      <c r="L21" s="90">
        <v>0.67092651757188493</v>
      </c>
      <c r="M21" s="91">
        <v>104.35</v>
      </c>
      <c r="N21" s="92">
        <v>0.55531190476190484</v>
      </c>
      <c r="O21" s="93">
        <v>8029.9999999999955</v>
      </c>
      <c r="P21" s="94">
        <v>1</v>
      </c>
      <c r="Q21" s="95">
        <v>5000</v>
      </c>
      <c r="R21" s="94">
        <v>0.33200000000000002</v>
      </c>
      <c r="S21" s="36" t="s">
        <v>27</v>
      </c>
      <c r="T21" s="37" t="s">
        <v>3</v>
      </c>
      <c r="U21" s="41"/>
      <c r="V21" s="39" t="str">
        <f>A21</f>
        <v>美律五</v>
      </c>
      <c r="W21" s="40">
        <v>3.0000000000000001E-3</v>
      </c>
    </row>
    <row r="22" spans="1:23" s="5" customFormat="1" ht="17.25" customHeight="1" x14ac:dyDescent="0.4">
      <c r="A22" s="34" t="s">
        <v>80</v>
      </c>
      <c r="B22" s="82">
        <v>24552</v>
      </c>
      <c r="C22" s="35" t="s">
        <v>64</v>
      </c>
      <c r="D22" s="83" t="s">
        <v>77</v>
      </c>
      <c r="E22" s="84">
        <v>8.8900000000000007E-2</v>
      </c>
      <c r="F22" s="85">
        <v>0.03</v>
      </c>
      <c r="G22" s="86">
        <v>47127</v>
      </c>
      <c r="H22" s="86">
        <v>47141</v>
      </c>
      <c r="I22" s="87">
        <v>2.8602739726027395</v>
      </c>
      <c r="J22" s="88">
        <v>100</v>
      </c>
      <c r="K22" s="89">
        <v>162.9</v>
      </c>
      <c r="L22" s="90">
        <v>1.3873542050337631</v>
      </c>
      <c r="M22" s="91">
        <v>165</v>
      </c>
      <c r="N22" s="92">
        <v>0.18931415929203541</v>
      </c>
      <c r="O22" s="93">
        <v>73890</v>
      </c>
      <c r="P22" s="94">
        <v>1</v>
      </c>
      <c r="Q22" s="95">
        <v>5000</v>
      </c>
      <c r="R22" s="94">
        <v>0.83199999999999996</v>
      </c>
      <c r="S22" s="36" t="s">
        <v>27</v>
      </c>
      <c r="T22" s="37" t="s">
        <v>3</v>
      </c>
      <c r="U22" s="41"/>
      <c r="V22" s="39" t="str">
        <f>A22</f>
        <v>全新二</v>
      </c>
      <c r="W22" s="40">
        <v>3.0000000000000001E-3</v>
      </c>
    </row>
    <row r="23" spans="1:23" s="5" customFormat="1" ht="17.25" customHeight="1" x14ac:dyDescent="0.4">
      <c r="A23" s="34" t="s">
        <v>81</v>
      </c>
      <c r="B23" s="82">
        <v>24553</v>
      </c>
      <c r="C23" s="35" t="s">
        <v>64</v>
      </c>
      <c r="D23" s="83" t="s">
        <v>77</v>
      </c>
      <c r="E23" s="84">
        <v>8.9200000000000002E-2</v>
      </c>
      <c r="F23" s="85">
        <v>0.03</v>
      </c>
      <c r="G23" s="86">
        <v>47133</v>
      </c>
      <c r="H23" s="86">
        <v>47145</v>
      </c>
      <c r="I23" s="87">
        <v>2.871232876712329</v>
      </c>
      <c r="J23" s="88">
        <v>100</v>
      </c>
      <c r="K23" s="89">
        <v>153.5</v>
      </c>
      <c r="L23" s="90">
        <v>1.4723127035830617</v>
      </c>
      <c r="M23" s="91">
        <v>169</v>
      </c>
      <c r="N23" s="92">
        <v>0.14785398230088506</v>
      </c>
      <c r="O23" s="93">
        <v>77919.999999999985</v>
      </c>
      <c r="P23" s="94">
        <v>1</v>
      </c>
      <c r="Q23" s="95">
        <v>5000</v>
      </c>
      <c r="R23" s="94">
        <v>0.83199999999999996</v>
      </c>
      <c r="S23" s="36" t="s">
        <v>27</v>
      </c>
      <c r="T23" s="37" t="s">
        <v>3</v>
      </c>
      <c r="U23" s="41"/>
      <c r="V23" s="39" t="str">
        <f>A23</f>
        <v>全新三</v>
      </c>
      <c r="W23" s="40">
        <v>3.0000000000000001E-3</v>
      </c>
    </row>
    <row r="24" spans="1:23" s="5" customFormat="1" ht="17.25" customHeight="1" x14ac:dyDescent="0.4">
      <c r="A24" s="34" t="s">
        <v>82</v>
      </c>
      <c r="B24" s="82">
        <v>24672</v>
      </c>
      <c r="C24" s="35" t="s">
        <v>64</v>
      </c>
      <c r="D24" s="83" t="s">
        <v>77</v>
      </c>
      <c r="E24" s="84">
        <v>5.7600000000000005E-2</v>
      </c>
      <c r="F24" s="85">
        <v>0.03</v>
      </c>
      <c r="G24" s="86">
        <v>46748</v>
      </c>
      <c r="H24" s="86">
        <v>46761</v>
      </c>
      <c r="I24" s="87">
        <v>1.8191780821917809</v>
      </c>
      <c r="J24" s="88">
        <v>100</v>
      </c>
      <c r="K24" s="89">
        <v>250.6</v>
      </c>
      <c r="L24" s="90">
        <v>1.4365522745411012</v>
      </c>
      <c r="M24" s="91">
        <v>146</v>
      </c>
      <c r="N24" s="92">
        <v>1.6322222222222245E-2</v>
      </c>
      <c r="O24" s="93">
        <v>51760.000000000007</v>
      </c>
      <c r="P24" s="94">
        <v>1</v>
      </c>
      <c r="Q24" s="95">
        <v>7000</v>
      </c>
      <c r="R24" s="94">
        <v>0.56100000000000005</v>
      </c>
      <c r="S24" s="36" t="s">
        <v>28</v>
      </c>
      <c r="T24" s="37"/>
      <c r="U24" s="41"/>
      <c r="V24" s="39" t="str">
        <f>A24</f>
        <v>志聖二</v>
      </c>
      <c r="W24" s="40">
        <v>3.0000000000000001E-3</v>
      </c>
    </row>
    <row r="25" spans="1:23" s="5" customFormat="1" ht="17.25" customHeight="1" x14ac:dyDescent="0.4">
      <c r="A25" s="34" t="s">
        <v>83</v>
      </c>
      <c r="B25" s="82">
        <v>24673</v>
      </c>
      <c r="C25" s="35" t="s">
        <v>64</v>
      </c>
      <c r="D25" s="83" t="s">
        <v>77</v>
      </c>
      <c r="E25" s="84">
        <v>5.8700000000000002E-2</v>
      </c>
      <c r="F25" s="85">
        <v>0.03</v>
      </c>
      <c r="G25" s="86">
        <v>46762</v>
      </c>
      <c r="H25" s="86">
        <v>46774</v>
      </c>
      <c r="I25" s="87">
        <v>1.8547945205479452</v>
      </c>
      <c r="J25" s="88">
        <v>100</v>
      </c>
      <c r="K25" s="89">
        <v>246.6</v>
      </c>
      <c r="L25" s="90">
        <v>1.4598540145985401</v>
      </c>
      <c r="M25" s="91">
        <v>145.80000000000001</v>
      </c>
      <c r="N25" s="92">
        <v>-1.269999999999942E-3</v>
      </c>
      <c r="O25" s="93">
        <v>51670.000000000015</v>
      </c>
      <c r="P25" s="94">
        <v>1</v>
      </c>
      <c r="Q25" s="95">
        <v>10000</v>
      </c>
      <c r="R25" s="94">
        <v>0.56100000000000005</v>
      </c>
      <c r="S25" s="36" t="s">
        <v>28</v>
      </c>
      <c r="T25" s="37"/>
      <c r="U25" s="41"/>
      <c r="V25" s="39" t="str">
        <f>A25</f>
        <v>志聖三</v>
      </c>
      <c r="W25" s="40">
        <v>3.0000000000000001E-3</v>
      </c>
    </row>
    <row r="26" spans="1:23" s="5" customFormat="1" ht="17.25" customHeight="1" x14ac:dyDescent="0.4">
      <c r="A26" s="34" t="s">
        <v>84</v>
      </c>
      <c r="B26" s="82">
        <v>24762</v>
      </c>
      <c r="C26" s="35" t="s">
        <v>64</v>
      </c>
      <c r="D26" s="83" t="s">
        <v>65</v>
      </c>
      <c r="E26" s="84">
        <v>2.69E-2</v>
      </c>
      <c r="F26" s="85">
        <v>2.75E-2</v>
      </c>
      <c r="G26" s="86">
        <v>46399</v>
      </c>
      <c r="H26" s="86">
        <v>46413</v>
      </c>
      <c r="I26" s="87">
        <v>0.86575342465753424</v>
      </c>
      <c r="J26" s="88">
        <v>100</v>
      </c>
      <c r="K26" s="89">
        <v>66.5</v>
      </c>
      <c r="L26" s="90">
        <v>1.1894736842105262</v>
      </c>
      <c r="M26" s="91">
        <v>125.1</v>
      </c>
      <c r="N26" s="92">
        <v>5.1725663716814127E-2</v>
      </c>
      <c r="O26" s="93">
        <v>27789.999999999993</v>
      </c>
      <c r="P26" s="94">
        <v>0.36770000000000003</v>
      </c>
      <c r="Q26" s="95">
        <v>10000</v>
      </c>
      <c r="R26" s="94">
        <v>0.32200000000000001</v>
      </c>
      <c r="S26" s="36" t="s">
        <v>28</v>
      </c>
      <c r="T26" s="37"/>
      <c r="U26" s="41"/>
      <c r="V26" s="39" t="str">
        <f>A26</f>
        <v>鉅祥二</v>
      </c>
      <c r="W26" s="40">
        <v>3.0000000000000001E-3</v>
      </c>
    </row>
    <row r="27" spans="1:23" s="5" customFormat="1" ht="17.25" customHeight="1" x14ac:dyDescent="0.4">
      <c r="A27" s="34" t="s">
        <v>85</v>
      </c>
      <c r="B27" s="82">
        <v>25283</v>
      </c>
      <c r="C27" s="35" t="s">
        <v>86</v>
      </c>
      <c r="D27" s="83" t="s">
        <v>57</v>
      </c>
      <c r="E27" s="84">
        <v>3.6800000000000006E-2</v>
      </c>
      <c r="F27" s="85">
        <v>2.3E-2</v>
      </c>
      <c r="G27" s="86">
        <v>46738</v>
      </c>
      <c r="H27" s="86">
        <v>46752</v>
      </c>
      <c r="I27" s="87">
        <v>1.7945205479452055</v>
      </c>
      <c r="J27" s="88">
        <v>100.752</v>
      </c>
      <c r="K27" s="89">
        <v>42.4</v>
      </c>
      <c r="L27" s="90">
        <v>0.63443396226415094</v>
      </c>
      <c r="M27" s="91">
        <v>106</v>
      </c>
      <c r="N27" s="92">
        <v>0.67078066914498136</v>
      </c>
      <c r="O27" s="93">
        <v>9680</v>
      </c>
      <c r="P27" s="94">
        <v>1</v>
      </c>
      <c r="Q27" s="95">
        <v>6000</v>
      </c>
      <c r="R27" s="94">
        <v>0.17100000000000001</v>
      </c>
      <c r="S27" s="36" t="s">
        <v>27</v>
      </c>
      <c r="T27" s="37"/>
      <c r="U27" s="41"/>
      <c r="V27" s="39" t="str">
        <f>A27</f>
        <v>皇普三</v>
      </c>
      <c r="W27" s="40">
        <v>3.0000000000000001E-3</v>
      </c>
    </row>
    <row r="28" spans="1:23" s="5" customFormat="1" ht="17.25" customHeight="1" x14ac:dyDescent="0.4">
      <c r="A28" s="42" t="s">
        <v>87</v>
      </c>
      <c r="B28" s="82">
        <v>27271</v>
      </c>
      <c r="C28" s="35" t="s">
        <v>64</v>
      </c>
      <c r="D28" s="83" t="s">
        <v>65</v>
      </c>
      <c r="E28" s="84">
        <v>6.0100000000000008E-2</v>
      </c>
      <c r="F28" s="85">
        <v>2.8000000000000001E-2</v>
      </c>
      <c r="G28" s="86">
        <v>46827</v>
      </c>
      <c r="H28" s="86">
        <v>46841</v>
      </c>
      <c r="I28" s="87">
        <v>2.0383561643835617</v>
      </c>
      <c r="J28" s="88">
        <v>100</v>
      </c>
      <c r="K28" s="89">
        <v>233.4</v>
      </c>
      <c r="L28" s="90">
        <v>0.98114824335904027</v>
      </c>
      <c r="M28" s="91">
        <v>106.65</v>
      </c>
      <c r="N28" s="92">
        <v>8.6991703056768566E-2</v>
      </c>
      <c r="O28" s="93">
        <v>12660.000000000007</v>
      </c>
      <c r="P28" s="94">
        <v>0.99985714285714289</v>
      </c>
      <c r="Q28" s="95">
        <v>7000</v>
      </c>
      <c r="R28" s="94">
        <v>9.4E-2</v>
      </c>
      <c r="S28" s="36" t="s">
        <v>28</v>
      </c>
      <c r="T28" s="37" t="s">
        <v>54</v>
      </c>
      <c r="U28" s="41"/>
      <c r="V28" s="39" t="str">
        <f>A28</f>
        <v>王品一</v>
      </c>
      <c r="W28" s="40">
        <v>3.0000000000000001E-3</v>
      </c>
    </row>
    <row r="29" spans="1:23" s="5" customFormat="1" ht="17.149999999999999" customHeight="1" x14ac:dyDescent="0.4">
      <c r="A29" s="34" t="s">
        <v>88</v>
      </c>
      <c r="B29" s="82">
        <v>27531</v>
      </c>
      <c r="C29" s="35" t="s">
        <v>64</v>
      </c>
      <c r="D29" s="83" t="s">
        <v>65</v>
      </c>
      <c r="E29" s="84">
        <v>7.2400000000000006E-2</v>
      </c>
      <c r="F29" s="85">
        <v>2.7E-2</v>
      </c>
      <c r="G29" s="86">
        <v>47021</v>
      </c>
      <c r="H29" s="86">
        <v>47035</v>
      </c>
      <c r="I29" s="87">
        <v>2.56986301369863</v>
      </c>
      <c r="J29" s="88">
        <v>100</v>
      </c>
      <c r="K29" s="89">
        <v>207.6</v>
      </c>
      <c r="L29" s="90">
        <v>0.8983622350674374</v>
      </c>
      <c r="M29" s="91">
        <v>108</v>
      </c>
      <c r="N29" s="92">
        <v>0.20218766756032175</v>
      </c>
      <c r="O29" s="93">
        <v>15240</v>
      </c>
      <c r="P29" s="94">
        <v>1</v>
      </c>
      <c r="Q29" s="95">
        <v>8000</v>
      </c>
      <c r="R29" s="94">
        <v>0.22500000000000001</v>
      </c>
      <c r="S29" s="36" t="s">
        <v>28</v>
      </c>
      <c r="T29" s="37"/>
      <c r="U29" s="38"/>
      <c r="V29" s="39" t="str">
        <f>A29</f>
        <v>八方雲集一</v>
      </c>
      <c r="W29" s="40">
        <v>3.0000000000000001E-3</v>
      </c>
    </row>
    <row r="30" spans="1:23" s="5" customFormat="1" ht="17.149999999999999" customHeight="1" x14ac:dyDescent="0.4">
      <c r="A30" s="34" t="s">
        <v>89</v>
      </c>
      <c r="B30" s="82">
        <v>27532</v>
      </c>
      <c r="C30" s="35" t="s">
        <v>64</v>
      </c>
      <c r="D30" s="83" t="s">
        <v>65</v>
      </c>
      <c r="E30" s="84">
        <v>7.3200000000000001E-2</v>
      </c>
      <c r="F30" s="85">
        <v>2.7E-2</v>
      </c>
      <c r="G30" s="86">
        <v>47032</v>
      </c>
      <c r="H30" s="86">
        <v>47046</v>
      </c>
      <c r="I30" s="87">
        <v>2.6</v>
      </c>
      <c r="J30" s="88">
        <v>100</v>
      </c>
      <c r="K30" s="89">
        <v>205.6</v>
      </c>
      <c r="L30" s="90">
        <v>0.90710116731517521</v>
      </c>
      <c r="M30" s="91">
        <v>109</v>
      </c>
      <c r="N30" s="92">
        <v>0.20163002680965139</v>
      </c>
      <c r="O30" s="93">
        <v>16320.000000000002</v>
      </c>
      <c r="P30" s="94">
        <v>1</v>
      </c>
      <c r="Q30" s="95">
        <v>2000</v>
      </c>
      <c r="R30" s="94">
        <v>0.22500000000000001</v>
      </c>
      <c r="S30" s="36" t="s">
        <v>28</v>
      </c>
      <c r="T30" s="37"/>
      <c r="U30" s="38"/>
      <c r="V30" s="39" t="str">
        <f>A30</f>
        <v>八方雲集二</v>
      </c>
      <c r="W30" s="40">
        <v>3.0000000000000001E-3</v>
      </c>
    </row>
    <row r="31" spans="1:23" s="5" customFormat="1" ht="17.25" customHeight="1" x14ac:dyDescent="0.4">
      <c r="A31" s="34" t="s">
        <v>90</v>
      </c>
      <c r="B31" s="82">
        <v>30134</v>
      </c>
      <c r="C31" s="35" t="s">
        <v>91</v>
      </c>
      <c r="D31" s="83" t="s">
        <v>77</v>
      </c>
      <c r="E31" s="84">
        <v>3.9700000000000006E-2</v>
      </c>
      <c r="F31" s="85">
        <v>2.3E-2</v>
      </c>
      <c r="G31" s="86">
        <v>46664</v>
      </c>
      <c r="H31" s="86">
        <v>46678</v>
      </c>
      <c r="I31" s="87">
        <v>1.5917808219178082</v>
      </c>
      <c r="J31" s="88">
        <v>100</v>
      </c>
      <c r="K31" s="89">
        <v>143.80000000000001</v>
      </c>
      <c r="L31" s="90">
        <v>0.68915159944367166</v>
      </c>
      <c r="M31" s="91">
        <v>117</v>
      </c>
      <c r="N31" s="92">
        <v>0.69773965691221029</v>
      </c>
      <c r="O31" s="93">
        <v>20970.000000000004</v>
      </c>
      <c r="P31" s="94">
        <v>1</v>
      </c>
      <c r="Q31" s="95">
        <v>5000</v>
      </c>
      <c r="R31" s="94">
        <v>0.34399999999999997</v>
      </c>
      <c r="S31" s="36" t="s">
        <v>27</v>
      </c>
      <c r="T31" s="37"/>
      <c r="U31" s="41"/>
      <c r="V31" s="39" t="str">
        <f>A31</f>
        <v>晟銘電四</v>
      </c>
      <c r="W31" s="40">
        <v>3.0000000000000001E-3</v>
      </c>
    </row>
    <row r="32" spans="1:23" s="5" customFormat="1" ht="17.25" customHeight="1" x14ac:dyDescent="0.4">
      <c r="A32" s="34" t="s">
        <v>92</v>
      </c>
      <c r="B32" s="82">
        <v>30371</v>
      </c>
      <c r="C32" s="35" t="s">
        <v>64</v>
      </c>
      <c r="D32" s="83" t="s">
        <v>65</v>
      </c>
      <c r="E32" s="84">
        <v>7.1600000000000011E-2</v>
      </c>
      <c r="F32" s="85">
        <v>2.5999999999999999E-2</v>
      </c>
      <c r="G32" s="86">
        <v>47046</v>
      </c>
      <c r="H32" s="86">
        <v>47060</v>
      </c>
      <c r="I32" s="87">
        <v>2.6383561643835618</v>
      </c>
      <c r="J32" s="88">
        <v>100</v>
      </c>
      <c r="K32" s="89">
        <v>164.1</v>
      </c>
      <c r="L32" s="90">
        <v>3.0408287629494213</v>
      </c>
      <c r="M32" s="91">
        <v>300</v>
      </c>
      <c r="N32" s="92">
        <v>-1.3426853707414928E-2</v>
      </c>
      <c r="O32" s="93">
        <v>207160</v>
      </c>
      <c r="P32" s="94">
        <v>0.51915</v>
      </c>
      <c r="Q32" s="95">
        <v>40000</v>
      </c>
      <c r="R32" s="94">
        <v>0.80600000000000005</v>
      </c>
      <c r="S32" s="36" t="s">
        <v>28</v>
      </c>
      <c r="T32" s="37"/>
      <c r="U32" s="38"/>
      <c r="V32" s="39" t="str">
        <f>A32</f>
        <v>欣興一</v>
      </c>
      <c r="W32" s="40">
        <v>3.0000000000000001E-3</v>
      </c>
    </row>
    <row r="33" spans="1:23" s="5" customFormat="1" ht="17.25" customHeight="1" x14ac:dyDescent="0.4">
      <c r="A33" s="34" t="s">
        <v>93</v>
      </c>
      <c r="B33" s="82">
        <v>30454</v>
      </c>
      <c r="C33" s="35" t="s">
        <v>64</v>
      </c>
      <c r="D33" s="83" t="s">
        <v>94</v>
      </c>
      <c r="E33" s="84">
        <v>5.1700000000000003E-2</v>
      </c>
      <c r="F33" s="85">
        <v>2.5000000000000001E-2</v>
      </c>
      <c r="G33" s="86">
        <v>46793</v>
      </c>
      <c r="H33" s="86">
        <v>46807</v>
      </c>
      <c r="I33" s="87">
        <v>1.9452054794520548</v>
      </c>
      <c r="J33" s="88">
        <v>100</v>
      </c>
      <c r="K33" s="89">
        <v>118.2</v>
      </c>
      <c r="L33" s="90">
        <v>0.89678510998307948</v>
      </c>
      <c r="M33" s="91">
        <v>98</v>
      </c>
      <c r="N33" s="92">
        <v>9.2792452830188804E-2</v>
      </c>
      <c r="O33" s="93">
        <v>3170.0000000000005</v>
      </c>
      <c r="P33" s="94">
        <v>1</v>
      </c>
      <c r="Q33" s="95">
        <v>70000</v>
      </c>
      <c r="R33" s="94">
        <v>7.0999999999999994E-2</v>
      </c>
      <c r="S33" s="36" t="s">
        <v>27</v>
      </c>
      <c r="T33" s="37"/>
      <c r="U33" s="41"/>
      <c r="V33" s="39" t="str">
        <f>A33</f>
        <v>台灣大四</v>
      </c>
      <c r="W33" s="40">
        <v>3.0000000000000001E-3</v>
      </c>
    </row>
    <row r="34" spans="1:23" s="5" customFormat="1" ht="17.25" customHeight="1" x14ac:dyDescent="0.4">
      <c r="A34" s="34" t="s">
        <v>95</v>
      </c>
      <c r="B34" s="82">
        <v>30455</v>
      </c>
      <c r="C34" s="35" t="s">
        <v>64</v>
      </c>
      <c r="D34" s="83" t="s">
        <v>94</v>
      </c>
      <c r="E34" s="84">
        <v>5.1700000000000003E-2</v>
      </c>
      <c r="F34" s="85">
        <v>2.5000000000000001E-2</v>
      </c>
      <c r="G34" s="86">
        <v>46794</v>
      </c>
      <c r="H34" s="86">
        <v>46808</v>
      </c>
      <c r="I34" s="87">
        <v>1.9479452054794522</v>
      </c>
      <c r="J34" s="88">
        <v>100</v>
      </c>
      <c r="K34" s="89">
        <v>111.3</v>
      </c>
      <c r="L34" s="90">
        <v>0.95238095238095244</v>
      </c>
      <c r="M34" s="91">
        <v>102</v>
      </c>
      <c r="N34" s="92">
        <v>7.0999999999999966E-2</v>
      </c>
      <c r="O34" s="93">
        <v>7170</v>
      </c>
      <c r="P34" s="94">
        <v>1</v>
      </c>
      <c r="Q34" s="95">
        <v>30000</v>
      </c>
      <c r="R34" s="94">
        <v>7.0999999999999994E-2</v>
      </c>
      <c r="S34" s="36" t="s">
        <v>27</v>
      </c>
      <c r="T34" s="37"/>
      <c r="U34" s="41"/>
      <c r="V34" s="39" t="str">
        <f>A34</f>
        <v>台灣大五</v>
      </c>
      <c r="W34" s="40">
        <v>3.0000000000000001E-3</v>
      </c>
    </row>
    <row r="35" spans="1:23" s="5" customFormat="1" ht="17.25" customHeight="1" x14ac:dyDescent="0.4">
      <c r="A35" s="34" t="s">
        <v>96</v>
      </c>
      <c r="B35" s="82">
        <v>30954</v>
      </c>
      <c r="C35" s="35" t="s">
        <v>97</v>
      </c>
      <c r="D35" s="83" t="s">
        <v>98</v>
      </c>
      <c r="E35" s="84">
        <v>2.58E-2</v>
      </c>
      <c r="F35" s="85">
        <v>2.4E-2</v>
      </c>
      <c r="G35" s="86">
        <v>46429</v>
      </c>
      <c r="H35" s="86">
        <v>46443</v>
      </c>
      <c r="I35" s="87">
        <v>0.94794520547945205</v>
      </c>
      <c r="J35" s="88">
        <v>100</v>
      </c>
      <c r="K35" s="89">
        <v>39.5</v>
      </c>
      <c r="L35" s="90">
        <v>0.81012658227848111</v>
      </c>
      <c r="M35" s="91">
        <v>116</v>
      </c>
      <c r="N35" s="92">
        <v>0.4318749999999999</v>
      </c>
      <c r="O35" s="93">
        <v>18580</v>
      </c>
      <c r="P35" s="94">
        <v>1</v>
      </c>
      <c r="Q35" s="95">
        <v>1500</v>
      </c>
      <c r="R35" s="94">
        <v>0.28100000000000003</v>
      </c>
      <c r="S35" s="36" t="s">
        <v>27</v>
      </c>
      <c r="T35" s="37"/>
      <c r="U35" s="41"/>
      <c r="V35" s="39" t="str">
        <f>A35</f>
        <v>及成四</v>
      </c>
      <c r="W35" s="40">
        <v>3.0000000000000001E-3</v>
      </c>
    </row>
    <row r="36" spans="1:23" s="5" customFormat="1" ht="17.25" customHeight="1" x14ac:dyDescent="0.4">
      <c r="A36" s="34" t="s">
        <v>99</v>
      </c>
      <c r="B36" s="82">
        <v>31311</v>
      </c>
      <c r="C36" s="35" t="s">
        <v>64</v>
      </c>
      <c r="D36" s="83" t="s">
        <v>77</v>
      </c>
      <c r="E36" s="84">
        <v>7.4300000000000005E-2</v>
      </c>
      <c r="F36" s="85">
        <v>0.03</v>
      </c>
      <c r="G36" s="86">
        <v>46951</v>
      </c>
      <c r="H36" s="86">
        <v>46964</v>
      </c>
      <c r="I36" s="87">
        <v>2.3753424657534246</v>
      </c>
      <c r="J36" s="88">
        <v>100</v>
      </c>
      <c r="K36" s="89">
        <v>1736.5</v>
      </c>
      <c r="L36" s="90">
        <v>1.1718974949611287</v>
      </c>
      <c r="M36" s="91">
        <v>134.94999999999999</v>
      </c>
      <c r="N36" s="92">
        <v>0.15155122850122843</v>
      </c>
      <c r="O36" s="93">
        <v>42379.999999999985</v>
      </c>
      <c r="P36" s="94">
        <v>1</v>
      </c>
      <c r="Q36" s="95">
        <v>10000</v>
      </c>
      <c r="R36" s="94">
        <v>0.42299999999999999</v>
      </c>
      <c r="S36" s="36" t="s">
        <v>28</v>
      </c>
      <c r="T36" s="37"/>
      <c r="U36" s="38"/>
      <c r="V36" s="39" t="str">
        <f>A36</f>
        <v>弘塑一</v>
      </c>
      <c r="W36" s="40">
        <v>3.0000000000000001E-3</v>
      </c>
    </row>
    <row r="37" spans="1:23" s="5" customFormat="1" ht="17.25" customHeight="1" x14ac:dyDescent="0.4">
      <c r="A37" s="34" t="s">
        <v>100</v>
      </c>
      <c r="B37" s="82">
        <v>31312</v>
      </c>
      <c r="C37" s="35" t="s">
        <v>64</v>
      </c>
      <c r="D37" s="83" t="s">
        <v>77</v>
      </c>
      <c r="E37" s="84">
        <v>7.4800000000000005E-2</v>
      </c>
      <c r="F37" s="85">
        <v>0.03</v>
      </c>
      <c r="G37" s="86">
        <v>46958</v>
      </c>
      <c r="H37" s="86">
        <v>46970</v>
      </c>
      <c r="I37" s="87">
        <v>2.3917808219178083</v>
      </c>
      <c r="J37" s="88">
        <v>100</v>
      </c>
      <c r="K37" s="89">
        <v>1626.6</v>
      </c>
      <c r="L37" s="90">
        <v>1.2510758637649084</v>
      </c>
      <c r="M37" s="91">
        <v>137</v>
      </c>
      <c r="N37" s="92">
        <v>9.5057493857493833E-2</v>
      </c>
      <c r="O37" s="93">
        <v>44480</v>
      </c>
      <c r="P37" s="94">
        <v>0.99980000000000002</v>
      </c>
      <c r="Q37" s="95">
        <v>10000</v>
      </c>
      <c r="R37" s="94">
        <v>0.42299999999999999</v>
      </c>
      <c r="S37" s="36" t="s">
        <v>28</v>
      </c>
      <c r="T37" s="37"/>
      <c r="U37" s="38"/>
      <c r="V37" s="39" t="str">
        <f>A37</f>
        <v>弘塑二</v>
      </c>
      <c r="W37" s="40">
        <v>3.0000000000000001E-3</v>
      </c>
    </row>
    <row r="38" spans="1:23" s="5" customFormat="1" ht="17.149999999999999" customHeight="1" x14ac:dyDescent="0.4">
      <c r="A38" s="34" t="s">
        <v>101</v>
      </c>
      <c r="B38" s="82">
        <v>32608</v>
      </c>
      <c r="C38" s="35" t="s">
        <v>64</v>
      </c>
      <c r="D38" s="83" t="s">
        <v>77</v>
      </c>
      <c r="E38" s="84">
        <v>4.7500000000000007E-2</v>
      </c>
      <c r="F38" s="85">
        <v>0.03</v>
      </c>
      <c r="G38" s="86">
        <v>46748</v>
      </c>
      <c r="H38" s="86">
        <v>46760</v>
      </c>
      <c r="I38" s="87">
        <v>1.8164383561643835</v>
      </c>
      <c r="J38" s="88">
        <v>101.0025</v>
      </c>
      <c r="K38" s="89">
        <v>244</v>
      </c>
      <c r="L38" s="90">
        <v>1.459016393442623</v>
      </c>
      <c r="M38" s="91">
        <v>161</v>
      </c>
      <c r="N38" s="92">
        <v>0.10348314606741575</v>
      </c>
      <c r="O38" s="93">
        <v>65750</v>
      </c>
      <c r="P38" s="94">
        <v>1</v>
      </c>
      <c r="Q38" s="95">
        <v>20000</v>
      </c>
      <c r="R38" s="94">
        <v>0.95</v>
      </c>
      <c r="S38" s="36" t="s">
        <v>28</v>
      </c>
      <c r="T38" s="37"/>
      <c r="U38" s="38"/>
      <c r="V38" s="39" t="str">
        <f>A38</f>
        <v>威剛八</v>
      </c>
      <c r="W38" s="40">
        <v>3.0000000000000001E-3</v>
      </c>
    </row>
    <row r="39" spans="1:23" s="5" customFormat="1" ht="17.149999999999999" customHeight="1" x14ac:dyDescent="0.4">
      <c r="A39" s="34" t="s">
        <v>102</v>
      </c>
      <c r="B39" s="82">
        <v>33133</v>
      </c>
      <c r="C39" s="35" t="s">
        <v>86</v>
      </c>
      <c r="D39" s="83" t="s">
        <v>57</v>
      </c>
      <c r="E39" s="84">
        <v>4.2300000000000004E-2</v>
      </c>
      <c r="F39" s="85">
        <v>2.3E-2</v>
      </c>
      <c r="G39" s="86">
        <v>46706</v>
      </c>
      <c r="H39" s="86">
        <v>46720</v>
      </c>
      <c r="I39" s="87">
        <v>1.7068493150684931</v>
      </c>
      <c r="J39" s="88">
        <v>100</v>
      </c>
      <c r="K39" s="89">
        <v>15.7</v>
      </c>
      <c r="L39" s="90">
        <v>0.81528662420382181</v>
      </c>
      <c r="M39" s="91">
        <v>107.5</v>
      </c>
      <c r="N39" s="92">
        <v>0.31855468749999982</v>
      </c>
      <c r="O39" s="93">
        <v>11730</v>
      </c>
      <c r="P39" s="94">
        <v>0.98575000000000002</v>
      </c>
      <c r="Q39" s="95">
        <v>4000</v>
      </c>
      <c r="R39" s="94">
        <v>0.218</v>
      </c>
      <c r="S39" s="36" t="s">
        <v>27</v>
      </c>
      <c r="T39" s="37"/>
      <c r="U39" s="38"/>
      <c r="V39" s="39" t="str">
        <f>A39</f>
        <v>斐成三</v>
      </c>
      <c r="W39" s="40">
        <v>3.0000000000000001E-3</v>
      </c>
    </row>
    <row r="40" spans="1:23" s="5" customFormat="1" ht="17.149999999999999" customHeight="1" x14ac:dyDescent="0.4">
      <c r="A40" s="34" t="s">
        <v>103</v>
      </c>
      <c r="B40" s="82">
        <v>33245</v>
      </c>
      <c r="C40" s="35" t="s">
        <v>64</v>
      </c>
      <c r="D40" s="83" t="s">
        <v>65</v>
      </c>
      <c r="E40" s="84">
        <v>2.92E-2</v>
      </c>
      <c r="F40" s="85">
        <v>0.03</v>
      </c>
      <c r="G40" s="86">
        <v>46587</v>
      </c>
      <c r="H40" s="86">
        <v>46599</v>
      </c>
      <c r="I40" s="87">
        <v>1.3753424657534246</v>
      </c>
      <c r="J40" s="88">
        <v>101.50749999999999</v>
      </c>
      <c r="K40" s="89">
        <v>734.4</v>
      </c>
      <c r="L40" s="90">
        <v>1.4569716775599126</v>
      </c>
      <c r="M40" s="91">
        <v>168</v>
      </c>
      <c r="N40" s="92">
        <v>0.15307663551401879</v>
      </c>
      <c r="O40" s="93">
        <v>70920</v>
      </c>
      <c r="P40" s="94">
        <v>0.999</v>
      </c>
      <c r="Q40" s="95">
        <v>15000</v>
      </c>
      <c r="R40" s="94">
        <v>0.49099999999999999</v>
      </c>
      <c r="S40" s="36" t="s">
        <v>27</v>
      </c>
      <c r="T40" s="37"/>
      <c r="U40" s="38"/>
      <c r="V40" s="39" t="str">
        <f>A40</f>
        <v>雙鴻五</v>
      </c>
      <c r="W40" s="40">
        <v>3.0000000000000001E-3</v>
      </c>
    </row>
    <row r="41" spans="1:23" s="5" customFormat="1" ht="17.25" customHeight="1" x14ac:dyDescent="0.4">
      <c r="A41" s="34" t="s">
        <v>104</v>
      </c>
      <c r="B41" s="82">
        <v>33571</v>
      </c>
      <c r="C41" s="35" t="s">
        <v>64</v>
      </c>
      <c r="D41" s="83" t="s">
        <v>65</v>
      </c>
      <c r="E41" s="84">
        <v>2.0299999999999999E-2</v>
      </c>
      <c r="F41" s="85">
        <v>2.75E-2</v>
      </c>
      <c r="G41" s="86">
        <v>46314</v>
      </c>
      <c r="H41" s="86">
        <v>46326</v>
      </c>
      <c r="I41" s="87">
        <v>0.62739726027397258</v>
      </c>
      <c r="J41" s="88">
        <v>100</v>
      </c>
      <c r="K41" s="89">
        <v>107.4</v>
      </c>
      <c r="L41" s="90">
        <v>1.4338919925512104</v>
      </c>
      <c r="M41" s="91">
        <v>142.30000000000001</v>
      </c>
      <c r="N41" s="92">
        <v>-7.5961038961038117E-3</v>
      </c>
      <c r="O41" s="93">
        <v>44330.000000000007</v>
      </c>
      <c r="P41" s="94">
        <v>0.44663636363636361</v>
      </c>
      <c r="Q41" s="95">
        <v>11000</v>
      </c>
      <c r="R41" s="94">
        <v>0.47299999999999998</v>
      </c>
      <c r="S41" s="36" t="s">
        <v>27</v>
      </c>
      <c r="T41" s="37"/>
      <c r="U41" s="38"/>
      <c r="V41" s="39" t="str">
        <f>A41</f>
        <v>臺慶科一</v>
      </c>
      <c r="W41" s="40">
        <v>3.0000000000000001E-3</v>
      </c>
    </row>
    <row r="42" spans="1:23" s="5" customFormat="1" ht="17.25" customHeight="1" x14ac:dyDescent="0.4">
      <c r="A42" s="34" t="s">
        <v>105</v>
      </c>
      <c r="B42" s="82">
        <v>33621</v>
      </c>
      <c r="C42" s="35" t="s">
        <v>106</v>
      </c>
      <c r="D42" s="83" t="s">
        <v>60</v>
      </c>
      <c r="E42" s="84">
        <v>2.6199999999999998E-2</v>
      </c>
      <c r="F42" s="85">
        <v>2.3E-2</v>
      </c>
      <c r="G42" s="86">
        <v>46570</v>
      </c>
      <c r="H42" s="86">
        <v>46584</v>
      </c>
      <c r="I42" s="87">
        <v>1.3342465753424657</v>
      </c>
      <c r="J42" s="88">
        <v>100.75</v>
      </c>
      <c r="K42" s="89">
        <v>251</v>
      </c>
      <c r="L42" s="90">
        <v>0.39243027888446214</v>
      </c>
      <c r="M42" s="91">
        <v>102.85</v>
      </c>
      <c r="N42" s="92">
        <v>1.6208477157360406</v>
      </c>
      <c r="O42" s="93">
        <v>5469.9999999999945</v>
      </c>
      <c r="P42" s="94">
        <v>0.99991666666666668</v>
      </c>
      <c r="Q42" s="95">
        <v>12000</v>
      </c>
      <c r="R42" s="94">
        <v>0.629</v>
      </c>
      <c r="S42" s="36" t="s">
        <v>27</v>
      </c>
      <c r="T42" s="37"/>
      <c r="U42" s="38"/>
      <c r="V42" s="39" t="str">
        <f>A42</f>
        <v>先進光一</v>
      </c>
      <c r="W42" s="40">
        <v>3.0000000000000001E-3</v>
      </c>
    </row>
    <row r="43" spans="1:23" s="5" customFormat="1" ht="17.25" customHeight="1" x14ac:dyDescent="0.4">
      <c r="A43" s="34" t="s">
        <v>29</v>
      </c>
      <c r="B43" s="82">
        <v>33763</v>
      </c>
      <c r="C43" s="35" t="s">
        <v>64</v>
      </c>
      <c r="D43" s="83" t="s">
        <v>65</v>
      </c>
      <c r="E43" s="84">
        <v>2.3899999999999998E-2</v>
      </c>
      <c r="F43" s="85">
        <v>2.5000000000000001E-2</v>
      </c>
      <c r="G43" s="86">
        <v>46608</v>
      </c>
      <c r="H43" s="86">
        <v>46622</v>
      </c>
      <c r="I43" s="87">
        <v>1.4383561643835616</v>
      </c>
      <c r="J43" s="88">
        <v>101.51</v>
      </c>
      <c r="K43" s="89">
        <v>195.2</v>
      </c>
      <c r="L43" s="90">
        <v>1.0092213114754098</v>
      </c>
      <c r="M43" s="91">
        <v>134</v>
      </c>
      <c r="N43" s="92">
        <v>0.327756345177665</v>
      </c>
      <c r="O43" s="93">
        <v>36390</v>
      </c>
      <c r="P43" s="94">
        <v>1</v>
      </c>
      <c r="Q43" s="95">
        <v>8000</v>
      </c>
      <c r="R43" s="94">
        <v>0.46400000000000002</v>
      </c>
      <c r="S43" s="36" t="s">
        <v>27</v>
      </c>
      <c r="T43" s="37"/>
      <c r="U43" s="38"/>
      <c r="V43" s="39" t="str">
        <f>A43</f>
        <v>新日興三</v>
      </c>
      <c r="W43" s="40">
        <v>3.0000000000000001E-3</v>
      </c>
    </row>
    <row r="44" spans="1:23" s="5" customFormat="1" ht="17.25" customHeight="1" x14ac:dyDescent="0.4">
      <c r="A44" s="34" t="s">
        <v>107</v>
      </c>
      <c r="B44" s="82">
        <v>33881</v>
      </c>
      <c r="C44" s="35" t="s">
        <v>64</v>
      </c>
      <c r="D44" s="83" t="s">
        <v>65</v>
      </c>
      <c r="E44" s="84">
        <v>4.9300000000000004E-2</v>
      </c>
      <c r="F44" s="85">
        <v>2.8000000000000001E-2</v>
      </c>
      <c r="G44" s="86">
        <v>46686</v>
      </c>
      <c r="H44" s="86">
        <v>46700</v>
      </c>
      <c r="I44" s="87">
        <v>1.6520547945205479</v>
      </c>
      <c r="J44" s="88">
        <v>100</v>
      </c>
      <c r="K44" s="89">
        <v>62.8</v>
      </c>
      <c r="L44" s="90">
        <v>0.99363057324840764</v>
      </c>
      <c r="M44" s="91">
        <v>105.45</v>
      </c>
      <c r="N44" s="92">
        <v>6.1259615384615385E-2</v>
      </c>
      <c r="O44" s="93">
        <v>10380.000000000004</v>
      </c>
      <c r="P44" s="94">
        <v>0.99985714285714289</v>
      </c>
      <c r="Q44" s="95">
        <v>7000</v>
      </c>
      <c r="R44" s="94">
        <v>6.7000000000000004E-2</v>
      </c>
      <c r="S44" s="36" t="s">
        <v>27</v>
      </c>
      <c r="T44" s="37"/>
      <c r="U44" s="38"/>
      <c r="V44" s="39" t="str">
        <f>A44</f>
        <v>崇越電一</v>
      </c>
      <c r="W44" s="40">
        <v>3.0000000000000001E-3</v>
      </c>
    </row>
    <row r="45" spans="1:23" s="5" customFormat="1" ht="17.25" customHeight="1" x14ac:dyDescent="0.4">
      <c r="A45" s="34" t="s">
        <v>108</v>
      </c>
      <c r="B45" s="82">
        <v>33902</v>
      </c>
      <c r="C45" s="35" t="s">
        <v>109</v>
      </c>
      <c r="D45" s="83" t="s">
        <v>60</v>
      </c>
      <c r="E45" s="84">
        <v>4.7600000000000003E-2</v>
      </c>
      <c r="F45" s="85">
        <v>2.3E-2</v>
      </c>
      <c r="G45" s="86">
        <v>46790</v>
      </c>
      <c r="H45" s="86">
        <v>46804</v>
      </c>
      <c r="I45" s="87">
        <v>1.9369863013698629</v>
      </c>
      <c r="J45" s="88">
        <v>100</v>
      </c>
      <c r="K45" s="89">
        <v>24.2</v>
      </c>
      <c r="L45" s="90">
        <v>0.89876033057851246</v>
      </c>
      <c r="M45" s="91">
        <v>116.9</v>
      </c>
      <c r="N45" s="92">
        <v>0.30068045977011493</v>
      </c>
      <c r="O45" s="93">
        <v>21660.000000000007</v>
      </c>
      <c r="P45" s="94">
        <v>1</v>
      </c>
      <c r="Q45" s="95">
        <v>2000</v>
      </c>
      <c r="R45" s="94">
        <v>0.35399999999999998</v>
      </c>
      <c r="S45" s="36" t="s">
        <v>27</v>
      </c>
      <c r="T45" s="37"/>
      <c r="U45" s="38"/>
      <c r="V45" s="39" t="str">
        <f>A45</f>
        <v>旭軟二</v>
      </c>
      <c r="W45" s="40">
        <v>3.0000000000000001E-3</v>
      </c>
    </row>
    <row r="46" spans="1:23" s="5" customFormat="1" ht="17.25" customHeight="1" x14ac:dyDescent="0.4">
      <c r="A46" s="34" t="s">
        <v>110</v>
      </c>
      <c r="B46" s="82">
        <v>34163</v>
      </c>
      <c r="C46" s="35" t="s">
        <v>64</v>
      </c>
      <c r="D46" s="83" t="s">
        <v>77</v>
      </c>
      <c r="E46" s="84">
        <v>2.8899999999999999E-2</v>
      </c>
      <c r="F46" s="85">
        <v>0.03</v>
      </c>
      <c r="G46" s="86">
        <v>46398</v>
      </c>
      <c r="H46" s="86">
        <v>46412</v>
      </c>
      <c r="I46" s="87">
        <v>0.86301369863013699</v>
      </c>
      <c r="J46" s="88">
        <v>100</v>
      </c>
      <c r="K46" s="89">
        <v>127.1</v>
      </c>
      <c r="L46" s="90">
        <v>1.1487018095987411</v>
      </c>
      <c r="M46" s="91">
        <v>123</v>
      </c>
      <c r="N46" s="92">
        <v>7.0773972602739682E-2</v>
      </c>
      <c r="O46" s="93">
        <v>25890.000000000004</v>
      </c>
      <c r="P46" s="94">
        <v>0.83940000000000003</v>
      </c>
      <c r="Q46" s="95">
        <v>5000</v>
      </c>
      <c r="R46" s="94">
        <v>0.32400000000000001</v>
      </c>
      <c r="S46" s="36" t="s">
        <v>28</v>
      </c>
      <c r="T46" s="37"/>
      <c r="U46" s="38"/>
      <c r="V46" s="39" t="str">
        <f>A46</f>
        <v>融程電三</v>
      </c>
      <c r="W46" s="40">
        <v>3.0000000000000001E-3</v>
      </c>
    </row>
    <row r="47" spans="1:23" s="5" customFormat="1" ht="17.25" customHeight="1" x14ac:dyDescent="0.4">
      <c r="A47" s="34" t="s">
        <v>111</v>
      </c>
      <c r="B47" s="82">
        <v>34793</v>
      </c>
      <c r="C47" s="35" t="s">
        <v>64</v>
      </c>
      <c r="D47" s="83" t="s">
        <v>77</v>
      </c>
      <c r="E47" s="84">
        <v>2.87E-2</v>
      </c>
      <c r="F47" s="85">
        <v>0.03</v>
      </c>
      <c r="G47" s="86">
        <v>46395</v>
      </c>
      <c r="H47" s="86">
        <v>46409</v>
      </c>
      <c r="I47" s="87">
        <v>0.85479452054794525</v>
      </c>
      <c r="J47" s="88">
        <v>100</v>
      </c>
      <c r="K47" s="89">
        <v>109.3</v>
      </c>
      <c r="L47" s="90">
        <v>0.82159194876486741</v>
      </c>
      <c r="M47" s="91">
        <v>105.3</v>
      </c>
      <c r="N47" s="92">
        <v>0.28165812917594646</v>
      </c>
      <c r="O47" s="93">
        <v>8169.9999999999964</v>
      </c>
      <c r="P47" s="94">
        <v>1</v>
      </c>
      <c r="Q47" s="95">
        <v>6500</v>
      </c>
      <c r="R47" s="94">
        <v>0.16500000000000001</v>
      </c>
      <c r="S47" s="36" t="s">
        <v>28</v>
      </c>
      <c r="T47" s="37"/>
      <c r="U47" s="38"/>
      <c r="V47" s="39" t="str">
        <f>A47</f>
        <v>安勤三</v>
      </c>
      <c r="W47" s="40">
        <v>3.0000000000000001E-3</v>
      </c>
    </row>
    <row r="48" spans="1:23" s="5" customFormat="1" ht="17.25" customHeight="1" x14ac:dyDescent="0.4">
      <c r="A48" s="34" t="s">
        <v>112</v>
      </c>
      <c r="B48" s="82">
        <v>35161</v>
      </c>
      <c r="C48" s="35" t="s">
        <v>113</v>
      </c>
      <c r="D48" s="83" t="s">
        <v>60</v>
      </c>
      <c r="E48" s="84">
        <v>3.9700000000000006E-2</v>
      </c>
      <c r="F48" s="85">
        <v>2.3E-2</v>
      </c>
      <c r="G48" s="86">
        <v>46664</v>
      </c>
      <c r="H48" s="86">
        <v>46678</v>
      </c>
      <c r="I48" s="87">
        <v>1.5917808219178082</v>
      </c>
      <c r="J48" s="88">
        <v>100</v>
      </c>
      <c r="K48" s="89">
        <v>25.81</v>
      </c>
      <c r="L48" s="90">
        <v>0.76133281673769859</v>
      </c>
      <c r="M48" s="91">
        <v>104.05</v>
      </c>
      <c r="N48" s="92">
        <v>0.36668218829516536</v>
      </c>
      <c r="O48" s="93">
        <v>8019.9999999999982</v>
      </c>
      <c r="P48" s="94">
        <v>1</v>
      </c>
      <c r="Q48" s="95">
        <v>3500</v>
      </c>
      <c r="R48" s="94">
        <v>0.14399999999999999</v>
      </c>
      <c r="S48" s="36" t="s">
        <v>27</v>
      </c>
      <c r="T48" s="37"/>
      <c r="U48" s="38"/>
      <c r="V48" s="39" t="str">
        <f>A48</f>
        <v>亞帝歐一</v>
      </c>
      <c r="W48" s="40">
        <v>3.0000000000000001E-3</v>
      </c>
    </row>
    <row r="49" spans="1:23" s="5" customFormat="1" ht="17.25" customHeight="1" x14ac:dyDescent="0.4">
      <c r="A49" s="34" t="s">
        <v>114</v>
      </c>
      <c r="B49" s="82">
        <v>35181</v>
      </c>
      <c r="C49" s="35" t="s">
        <v>115</v>
      </c>
      <c r="D49" s="83" t="s">
        <v>57</v>
      </c>
      <c r="E49" s="84">
        <v>3.5600000000000007E-2</v>
      </c>
      <c r="F49" s="85">
        <v>2.3E-2</v>
      </c>
      <c r="G49" s="86">
        <v>46601</v>
      </c>
      <c r="H49" s="86">
        <v>46614</v>
      </c>
      <c r="I49" s="87">
        <v>1.4164383561643836</v>
      </c>
      <c r="J49" s="88">
        <v>100</v>
      </c>
      <c r="K49" s="89">
        <v>34.9</v>
      </c>
      <c r="L49" s="90">
        <v>0.58309455587392556</v>
      </c>
      <c r="M49" s="91">
        <v>104</v>
      </c>
      <c r="N49" s="92">
        <v>0.78358722358722344</v>
      </c>
      <c r="O49" s="93">
        <v>7560</v>
      </c>
      <c r="P49" s="94">
        <v>1</v>
      </c>
      <c r="Q49" s="95">
        <v>3000</v>
      </c>
      <c r="R49" s="94">
        <v>0.46600000000000003</v>
      </c>
      <c r="S49" s="36" t="s">
        <v>27</v>
      </c>
      <c r="T49" s="37"/>
      <c r="U49" s="38"/>
      <c r="V49" s="39" t="str">
        <f>A49</f>
        <v>柏騰一</v>
      </c>
      <c r="W49" s="40">
        <v>3.0000000000000001E-3</v>
      </c>
    </row>
    <row r="50" spans="1:23" s="5" customFormat="1" ht="17.25" customHeight="1" x14ac:dyDescent="0.4">
      <c r="A50" s="34" t="s">
        <v>116</v>
      </c>
      <c r="B50" s="82">
        <v>35221</v>
      </c>
      <c r="C50" s="35" t="s">
        <v>117</v>
      </c>
      <c r="D50" s="83" t="s">
        <v>98</v>
      </c>
      <c r="E50" s="84">
        <v>5.4000000000000003E-3</v>
      </c>
      <c r="F50" s="85">
        <v>2.3E-2</v>
      </c>
      <c r="G50" s="86">
        <v>46360</v>
      </c>
      <c r="H50" s="86">
        <v>46374</v>
      </c>
      <c r="I50" s="87">
        <v>0.75890410958904109</v>
      </c>
      <c r="J50" s="88">
        <v>101.50749999999999</v>
      </c>
      <c r="K50" s="89">
        <v>18.2</v>
      </c>
      <c r="L50" s="90">
        <v>0.77747252747252749</v>
      </c>
      <c r="M50" s="91">
        <v>105</v>
      </c>
      <c r="N50" s="92">
        <v>0.35053003533568911</v>
      </c>
      <c r="O50" s="93">
        <v>5540.0000000000009</v>
      </c>
      <c r="P50" s="94">
        <v>0.82066666666666666</v>
      </c>
      <c r="Q50" s="95">
        <v>1500</v>
      </c>
      <c r="R50" s="94">
        <v>0.26400000000000001</v>
      </c>
      <c r="S50" s="36" t="s">
        <v>27</v>
      </c>
      <c r="T50" s="37"/>
      <c r="U50" s="38"/>
      <c r="V50" s="39" t="str">
        <f>A50</f>
        <v>御嵿一</v>
      </c>
      <c r="W50" s="40">
        <v>3.0000000000000001E-3</v>
      </c>
    </row>
    <row r="51" spans="1:23" s="5" customFormat="1" ht="17.25" customHeight="1" x14ac:dyDescent="0.4">
      <c r="A51" s="34" t="s">
        <v>118</v>
      </c>
      <c r="B51" s="82">
        <v>35267</v>
      </c>
      <c r="C51" s="35" t="s">
        <v>64</v>
      </c>
      <c r="D51" s="83" t="s">
        <v>77</v>
      </c>
      <c r="E51" s="84">
        <v>7.3800000000000004E-2</v>
      </c>
      <c r="F51" s="85">
        <v>0.03</v>
      </c>
      <c r="G51" s="86">
        <v>46944</v>
      </c>
      <c r="H51" s="86">
        <v>46958</v>
      </c>
      <c r="I51" s="87">
        <v>2.3589041095890413</v>
      </c>
      <c r="J51" s="88">
        <v>100</v>
      </c>
      <c r="K51" s="89">
        <v>269.60000000000002</v>
      </c>
      <c r="L51" s="90">
        <v>1.0682492581602372</v>
      </c>
      <c r="M51" s="91">
        <v>125.5</v>
      </c>
      <c r="N51" s="92">
        <v>0.17481944444444464</v>
      </c>
      <c r="O51" s="93">
        <v>32880</v>
      </c>
      <c r="P51" s="94">
        <v>1</v>
      </c>
      <c r="Q51" s="95">
        <v>15000</v>
      </c>
      <c r="R51" s="94">
        <v>0.36899999999999999</v>
      </c>
      <c r="S51" s="36" t="s">
        <v>28</v>
      </c>
      <c r="T51" s="37"/>
      <c r="U51" s="38"/>
      <c r="V51" s="39" t="str">
        <f>A51</f>
        <v>凡甲七</v>
      </c>
      <c r="W51" s="40">
        <v>3.0000000000000001E-3</v>
      </c>
    </row>
    <row r="52" spans="1:23" s="5" customFormat="1" ht="17.25" customHeight="1" x14ac:dyDescent="0.4">
      <c r="A52" s="34" t="s">
        <v>119</v>
      </c>
      <c r="B52" s="82">
        <v>35431</v>
      </c>
      <c r="C52" s="35" t="s">
        <v>120</v>
      </c>
      <c r="D52" s="83" t="s">
        <v>62</v>
      </c>
      <c r="E52" s="84">
        <v>6.7100000000000007E-2</v>
      </c>
      <c r="F52" s="85">
        <v>2.3E-2</v>
      </c>
      <c r="G52" s="86">
        <v>47099</v>
      </c>
      <c r="H52" s="86">
        <v>47113</v>
      </c>
      <c r="I52" s="87">
        <v>2.7835616438356166</v>
      </c>
      <c r="J52" s="88">
        <v>100</v>
      </c>
      <c r="K52" s="89">
        <v>45</v>
      </c>
      <c r="L52" s="90">
        <v>1.1311111111111112</v>
      </c>
      <c r="M52" s="91">
        <v>134</v>
      </c>
      <c r="N52" s="92">
        <v>0.18467583497053042</v>
      </c>
      <c r="O52" s="93">
        <v>40710</v>
      </c>
      <c r="P52" s="94">
        <v>1</v>
      </c>
      <c r="Q52" s="95">
        <v>4000</v>
      </c>
      <c r="R52" s="94">
        <v>0.63200000000000001</v>
      </c>
      <c r="S52" s="36" t="s">
        <v>28</v>
      </c>
      <c r="T52" s="37"/>
      <c r="U52" s="38" t="s">
        <v>3</v>
      </c>
      <c r="V52" s="39" t="str">
        <f>A52</f>
        <v>州巧一</v>
      </c>
      <c r="W52" s="40">
        <v>3.0000000000000001E-3</v>
      </c>
    </row>
    <row r="53" spans="1:23" s="5" customFormat="1" ht="17.25" customHeight="1" x14ac:dyDescent="0.4">
      <c r="A53" s="34" t="s">
        <v>121</v>
      </c>
      <c r="B53" s="82">
        <v>35513</v>
      </c>
      <c r="C53" s="35" t="s">
        <v>64</v>
      </c>
      <c r="D53" s="83" t="s">
        <v>77</v>
      </c>
      <c r="E53" s="84">
        <v>8.1700000000000009E-2</v>
      </c>
      <c r="F53" s="85">
        <v>0.03</v>
      </c>
      <c r="G53" s="86">
        <v>47042</v>
      </c>
      <c r="H53" s="86">
        <v>47054</v>
      </c>
      <c r="I53" s="87">
        <v>2.6219178082191781</v>
      </c>
      <c r="J53" s="88">
        <v>100</v>
      </c>
      <c r="K53" s="89">
        <v>173</v>
      </c>
      <c r="L53" s="90">
        <v>1.0317919075144508</v>
      </c>
      <c r="M53" s="91">
        <v>128.55000000000001</v>
      </c>
      <c r="N53" s="92">
        <v>0.24589075630252125</v>
      </c>
      <c r="O53" s="93">
        <v>36720.000000000007</v>
      </c>
      <c r="P53" s="94">
        <v>1</v>
      </c>
      <c r="Q53" s="95">
        <v>5000</v>
      </c>
      <c r="R53" s="94">
        <v>0.34</v>
      </c>
      <c r="S53" s="36" t="s">
        <v>28</v>
      </c>
      <c r="T53" s="37"/>
      <c r="U53" s="38"/>
      <c r="V53" s="39" t="str">
        <f>A53</f>
        <v>世禾三</v>
      </c>
      <c r="W53" s="40">
        <v>3.0000000000000001E-3</v>
      </c>
    </row>
    <row r="54" spans="1:23" s="5" customFormat="1" ht="17.25" customHeight="1" x14ac:dyDescent="0.4">
      <c r="A54" s="34" t="s">
        <v>122</v>
      </c>
      <c r="B54" s="82">
        <v>35831</v>
      </c>
      <c r="C54" s="35" t="s">
        <v>64</v>
      </c>
      <c r="D54" s="83" t="s">
        <v>65</v>
      </c>
      <c r="E54" s="84">
        <v>9.4000000000000004E-3</v>
      </c>
      <c r="F54" s="85">
        <v>2.8000000000000001E-2</v>
      </c>
      <c r="G54" s="86">
        <v>46167</v>
      </c>
      <c r="H54" s="86">
        <v>46180</v>
      </c>
      <c r="I54" s="87">
        <v>0.22739726027397261</v>
      </c>
      <c r="J54" s="88">
        <v>100</v>
      </c>
      <c r="K54" s="89">
        <v>349.3</v>
      </c>
      <c r="L54" s="90">
        <v>1.103635843114801</v>
      </c>
      <c r="M54" s="91">
        <v>122.5</v>
      </c>
      <c r="N54" s="92">
        <v>0.10996757457846959</v>
      </c>
      <c r="O54" s="93">
        <v>23440</v>
      </c>
      <c r="P54" s="94">
        <v>1</v>
      </c>
      <c r="Q54" s="95">
        <v>2000</v>
      </c>
      <c r="R54" s="94">
        <v>0.40400000000000003</v>
      </c>
      <c r="S54" s="36" t="s">
        <v>28</v>
      </c>
      <c r="T54" s="37"/>
      <c r="U54" s="38"/>
      <c r="V54" s="39" t="str">
        <f>A54</f>
        <v>辛耘一</v>
      </c>
      <c r="W54" s="40">
        <v>3.0000000000000001E-3</v>
      </c>
    </row>
    <row r="55" spans="1:23" s="5" customFormat="1" ht="17.25" customHeight="1" x14ac:dyDescent="0.4">
      <c r="A55" s="34" t="s">
        <v>30</v>
      </c>
      <c r="B55" s="82">
        <v>35832</v>
      </c>
      <c r="C55" s="35" t="s">
        <v>64</v>
      </c>
      <c r="D55" s="83" t="s">
        <v>65</v>
      </c>
      <c r="E55" s="84">
        <v>1.03E-2</v>
      </c>
      <c r="F55" s="85">
        <v>2.8000000000000001E-2</v>
      </c>
      <c r="G55" s="86">
        <v>46178</v>
      </c>
      <c r="H55" s="86">
        <v>46192</v>
      </c>
      <c r="I55" s="87">
        <v>0.26027397260273971</v>
      </c>
      <c r="J55" s="88">
        <v>100</v>
      </c>
      <c r="K55" s="89">
        <v>337.4</v>
      </c>
      <c r="L55" s="90">
        <v>1.1425607587433315</v>
      </c>
      <c r="M55" s="91">
        <v>129</v>
      </c>
      <c r="N55" s="92">
        <v>0.12904280155642009</v>
      </c>
      <c r="O55" s="93">
        <v>30029.999999999996</v>
      </c>
      <c r="P55" s="94">
        <v>0.99880000000000002</v>
      </c>
      <c r="Q55" s="95">
        <v>10000</v>
      </c>
      <c r="R55" s="94">
        <v>0.40400000000000003</v>
      </c>
      <c r="S55" s="36" t="s">
        <v>28</v>
      </c>
      <c r="T55" s="37"/>
      <c r="U55" s="38"/>
      <c r="V55" s="39" t="str">
        <f>A55</f>
        <v>辛耘二</v>
      </c>
      <c r="W55" s="40">
        <v>3.0000000000000001E-3</v>
      </c>
    </row>
    <row r="56" spans="1:23" s="5" customFormat="1" ht="17.25" customHeight="1" x14ac:dyDescent="0.4">
      <c r="A56" s="34" t="s">
        <v>123</v>
      </c>
      <c r="B56" s="82">
        <v>35872</v>
      </c>
      <c r="C56" s="35" t="s">
        <v>64</v>
      </c>
      <c r="D56" s="83" t="s">
        <v>65</v>
      </c>
      <c r="E56" s="84">
        <v>7.5400000000000009E-2</v>
      </c>
      <c r="F56" s="85">
        <v>2.5000000000000001E-2</v>
      </c>
      <c r="G56" s="86">
        <v>47140</v>
      </c>
      <c r="H56" s="86">
        <v>47153</v>
      </c>
      <c r="I56" s="87">
        <v>2.893150684931507</v>
      </c>
      <c r="J56" s="88">
        <v>100</v>
      </c>
      <c r="K56" s="89">
        <v>198</v>
      </c>
      <c r="L56" s="90">
        <v>0.93939393939393934</v>
      </c>
      <c r="M56" s="91">
        <v>124</v>
      </c>
      <c r="N56" s="92">
        <v>0.32</v>
      </c>
      <c r="O56" s="93">
        <v>31540</v>
      </c>
      <c r="P56" s="94">
        <v>1</v>
      </c>
      <c r="Q56" s="95">
        <v>7000</v>
      </c>
      <c r="R56" s="94">
        <v>0.40100000000000002</v>
      </c>
      <c r="S56" s="36" t="s">
        <v>27</v>
      </c>
      <c r="T56" s="37"/>
      <c r="U56" s="38"/>
      <c r="V56" s="39" t="str">
        <f>A56</f>
        <v>閎康二</v>
      </c>
      <c r="W56" s="40">
        <v>3.0000000000000001E-3</v>
      </c>
    </row>
    <row r="57" spans="1:23" s="5" customFormat="1" ht="17.25" customHeight="1" x14ac:dyDescent="0.4">
      <c r="A57" s="34" t="s">
        <v>124</v>
      </c>
      <c r="B57" s="82">
        <v>36173</v>
      </c>
      <c r="C57" s="35" t="s">
        <v>64</v>
      </c>
      <c r="D57" s="83" t="s">
        <v>65</v>
      </c>
      <c r="E57" s="84">
        <v>6.6200000000000009E-2</v>
      </c>
      <c r="F57" s="85">
        <v>2.8000000000000001E-2</v>
      </c>
      <c r="G57" s="86">
        <v>46906</v>
      </c>
      <c r="H57" s="86">
        <v>46920</v>
      </c>
      <c r="I57" s="87">
        <v>2.2547945205479452</v>
      </c>
      <c r="J57" s="88">
        <v>100</v>
      </c>
      <c r="K57" s="89">
        <v>287.3</v>
      </c>
      <c r="L57" s="90">
        <v>0.619561434041072</v>
      </c>
      <c r="M57" s="91">
        <v>102</v>
      </c>
      <c r="N57" s="92">
        <v>0.64632584269662929</v>
      </c>
      <c r="O57" s="93">
        <v>8620.0000000000018</v>
      </c>
      <c r="P57" s="94">
        <v>1</v>
      </c>
      <c r="Q57" s="95">
        <v>15000</v>
      </c>
      <c r="R57" s="94">
        <v>0.27900000000000003</v>
      </c>
      <c r="S57" s="36" t="s">
        <v>28</v>
      </c>
      <c r="T57" s="37"/>
      <c r="U57" s="38"/>
      <c r="V57" s="39" t="str">
        <f>A57</f>
        <v>碩天三</v>
      </c>
      <c r="W57" s="40">
        <v>3.0000000000000001E-3</v>
      </c>
    </row>
    <row r="58" spans="1:23" s="5" customFormat="1" ht="17.25" customHeight="1" x14ac:dyDescent="0.4">
      <c r="A58" s="34" t="s">
        <v>125</v>
      </c>
      <c r="B58" s="82">
        <v>36804</v>
      </c>
      <c r="C58" s="35" t="s">
        <v>64</v>
      </c>
      <c r="D58" s="83" t="s">
        <v>77</v>
      </c>
      <c r="E58" s="84">
        <v>2.0799999999999999E-2</v>
      </c>
      <c r="F58" s="85">
        <v>0.03</v>
      </c>
      <c r="G58" s="86">
        <v>46300</v>
      </c>
      <c r="H58" s="86">
        <v>46313</v>
      </c>
      <c r="I58" s="87">
        <v>0.59178082191780823</v>
      </c>
      <c r="J58" s="88">
        <v>100</v>
      </c>
      <c r="K58" s="89">
        <v>354</v>
      </c>
      <c r="L58" s="90">
        <v>1.0790960451977401</v>
      </c>
      <c r="M58" s="91">
        <v>123.5</v>
      </c>
      <c r="N58" s="92">
        <v>0.14447643979057595</v>
      </c>
      <c r="O58" s="93">
        <v>25579.999999999996</v>
      </c>
      <c r="P58" s="94">
        <v>0.35610000000000003</v>
      </c>
      <c r="Q58" s="95">
        <v>10000</v>
      </c>
      <c r="R58" s="94">
        <v>0.45300000000000001</v>
      </c>
      <c r="S58" s="36" t="s">
        <v>28</v>
      </c>
      <c r="T58" s="37"/>
      <c r="U58" s="38"/>
      <c r="V58" s="39" t="str">
        <f>A58</f>
        <v>家登四</v>
      </c>
      <c r="W58" s="40">
        <v>3.0000000000000001E-3</v>
      </c>
    </row>
    <row r="59" spans="1:23" s="5" customFormat="1" ht="17.25" customHeight="1" x14ac:dyDescent="0.4">
      <c r="A59" s="34" t="s">
        <v>126</v>
      </c>
      <c r="B59" s="82">
        <v>36913</v>
      </c>
      <c r="C59" s="35" t="s">
        <v>127</v>
      </c>
      <c r="D59" s="83" t="s">
        <v>60</v>
      </c>
      <c r="E59" s="84">
        <v>3.6600000000000008E-2</v>
      </c>
      <c r="F59" s="85">
        <v>2.3E-2</v>
      </c>
      <c r="G59" s="86">
        <v>46615</v>
      </c>
      <c r="H59" s="86">
        <v>46629</v>
      </c>
      <c r="I59" s="87">
        <v>1.4575342465753425</v>
      </c>
      <c r="J59" s="88">
        <v>100</v>
      </c>
      <c r="K59" s="89">
        <v>118</v>
      </c>
      <c r="L59" s="90">
        <v>0.95338983050847459</v>
      </c>
      <c r="M59" s="91">
        <v>115.85</v>
      </c>
      <c r="N59" s="92">
        <v>0.21513777777777768</v>
      </c>
      <c r="O59" s="93">
        <v>19509.999999999993</v>
      </c>
      <c r="P59" s="94">
        <v>1</v>
      </c>
      <c r="Q59" s="95">
        <v>20000</v>
      </c>
      <c r="R59" s="94">
        <v>0.86</v>
      </c>
      <c r="S59" s="36" t="s">
        <v>27</v>
      </c>
      <c r="T59" s="37"/>
      <c r="U59" s="38"/>
      <c r="V59" s="39" t="str">
        <f>A59</f>
        <v>碩禾三</v>
      </c>
      <c r="W59" s="40">
        <v>3.0000000000000001E-3</v>
      </c>
    </row>
    <row r="60" spans="1:23" s="5" customFormat="1" ht="17.25" customHeight="1" x14ac:dyDescent="0.4">
      <c r="A60" s="34" t="s">
        <v>128</v>
      </c>
      <c r="B60" s="82">
        <v>37083</v>
      </c>
      <c r="C60" s="35" t="s">
        <v>129</v>
      </c>
      <c r="D60" s="83" t="s">
        <v>62</v>
      </c>
      <c r="E60" s="84">
        <v>1.5300000000000001E-2</v>
      </c>
      <c r="F60" s="85">
        <v>2.3E-2</v>
      </c>
      <c r="G60" s="86">
        <v>46279</v>
      </c>
      <c r="H60" s="86">
        <v>46292</v>
      </c>
      <c r="I60" s="87">
        <v>0.53424657534246578</v>
      </c>
      <c r="J60" s="88">
        <v>100</v>
      </c>
      <c r="K60" s="89">
        <v>86.4</v>
      </c>
      <c r="L60" s="90">
        <v>1.5162037037037035</v>
      </c>
      <c r="M60" s="91">
        <v>152</v>
      </c>
      <c r="N60" s="92">
        <v>2.5038167938932483E-3</v>
      </c>
      <c r="O60" s="93">
        <v>53530</v>
      </c>
      <c r="P60" s="94">
        <v>0.2999</v>
      </c>
      <c r="Q60" s="95">
        <v>10000</v>
      </c>
      <c r="R60" s="94">
        <v>0.497</v>
      </c>
      <c r="S60" s="36" t="s">
        <v>27</v>
      </c>
      <c r="T60" s="37" t="s">
        <v>3</v>
      </c>
      <c r="U60" s="38"/>
      <c r="V60" s="39" t="str">
        <f>A60</f>
        <v>上緯投控三</v>
      </c>
      <c r="W60" s="40">
        <v>3.0000000000000001E-3</v>
      </c>
    </row>
    <row r="61" spans="1:23" s="5" customFormat="1" ht="17.25" customHeight="1" x14ac:dyDescent="0.4">
      <c r="A61" s="34" t="s">
        <v>130</v>
      </c>
      <c r="B61" s="82">
        <v>37171</v>
      </c>
      <c r="C61" s="35" t="s">
        <v>131</v>
      </c>
      <c r="D61" s="83" t="s">
        <v>60</v>
      </c>
      <c r="E61" s="84">
        <v>4.0600000000000004E-2</v>
      </c>
      <c r="F61" s="85">
        <v>2.3E-2</v>
      </c>
      <c r="G61" s="86">
        <v>46759</v>
      </c>
      <c r="H61" s="86">
        <v>46773</v>
      </c>
      <c r="I61" s="87">
        <v>1.8520547945205479</v>
      </c>
      <c r="J61" s="88">
        <v>100.5</v>
      </c>
      <c r="K61" s="89">
        <v>17.5</v>
      </c>
      <c r="L61" s="90">
        <v>1.0828571428571427</v>
      </c>
      <c r="M61" s="91">
        <v>112</v>
      </c>
      <c r="N61" s="92">
        <v>3.4300791556728306E-2</v>
      </c>
      <c r="O61" s="93">
        <v>16060</v>
      </c>
      <c r="P61" s="94">
        <v>1</v>
      </c>
      <c r="Q61" s="95">
        <v>7000</v>
      </c>
      <c r="R61" s="94">
        <v>0.48499999999999999</v>
      </c>
      <c r="S61" s="36" t="s">
        <v>27</v>
      </c>
      <c r="T61" s="37"/>
      <c r="U61" s="38"/>
      <c r="V61" s="39" t="str">
        <f>A61</f>
        <v>聯嘉投控一</v>
      </c>
      <c r="W61" s="40">
        <v>3.0000000000000001E-3</v>
      </c>
    </row>
    <row r="62" spans="1:23" s="5" customFormat="1" ht="17.25" customHeight="1" x14ac:dyDescent="0.4">
      <c r="A62" s="34" t="s">
        <v>132</v>
      </c>
      <c r="B62" s="82">
        <v>41135</v>
      </c>
      <c r="C62" s="35" t="s">
        <v>133</v>
      </c>
      <c r="D62" s="83" t="s">
        <v>60</v>
      </c>
      <c r="E62" s="84">
        <v>6.59E-2</v>
      </c>
      <c r="F62" s="85">
        <v>2.4E-2</v>
      </c>
      <c r="G62" s="86">
        <v>47039</v>
      </c>
      <c r="H62" s="86">
        <v>47053</v>
      </c>
      <c r="I62" s="87">
        <v>2.6191780821917807</v>
      </c>
      <c r="J62" s="88">
        <v>100</v>
      </c>
      <c r="K62" s="89">
        <v>26.3</v>
      </c>
      <c r="L62" s="90">
        <v>0.73193916349809884</v>
      </c>
      <c r="M62" s="91">
        <v>108</v>
      </c>
      <c r="N62" s="92">
        <v>0.47553246753246758</v>
      </c>
      <c r="O62" s="93">
        <v>14590</v>
      </c>
      <c r="P62" s="94">
        <v>1</v>
      </c>
      <c r="Q62" s="95">
        <v>4000</v>
      </c>
      <c r="R62" s="94">
        <v>0.27200000000000002</v>
      </c>
      <c r="S62" s="36" t="s">
        <v>28</v>
      </c>
      <c r="T62" s="37"/>
      <c r="U62" s="41"/>
      <c r="V62" s="39" t="str">
        <f>A62</f>
        <v>聯上五</v>
      </c>
      <c r="W62" s="40">
        <v>3.0000000000000001E-3</v>
      </c>
    </row>
    <row r="63" spans="1:23" s="5" customFormat="1" ht="17.25" customHeight="1" x14ac:dyDescent="0.4">
      <c r="A63" s="34" t="s">
        <v>134</v>
      </c>
      <c r="B63" s="82">
        <v>41236</v>
      </c>
      <c r="C63" s="35" t="s">
        <v>135</v>
      </c>
      <c r="D63" s="83" t="s">
        <v>62</v>
      </c>
      <c r="E63" s="84">
        <v>5.1700000000000003E-2</v>
      </c>
      <c r="F63" s="85">
        <v>2.3E-2</v>
      </c>
      <c r="G63" s="86">
        <v>46855</v>
      </c>
      <c r="H63" s="86">
        <v>46869</v>
      </c>
      <c r="I63" s="87">
        <v>2.1150684931506851</v>
      </c>
      <c r="J63" s="88">
        <v>100</v>
      </c>
      <c r="K63" s="89">
        <v>38.6</v>
      </c>
      <c r="L63" s="90">
        <v>1.1463730569948185</v>
      </c>
      <c r="M63" s="91">
        <v>125</v>
      </c>
      <c r="N63" s="92">
        <v>9.0395480225988784E-2</v>
      </c>
      <c r="O63" s="93">
        <v>30170.000000000004</v>
      </c>
      <c r="P63" s="94">
        <v>0.90885714285714281</v>
      </c>
      <c r="Q63" s="95">
        <v>7000</v>
      </c>
      <c r="R63" s="94">
        <v>0.23599999999999999</v>
      </c>
      <c r="S63" s="36" t="s">
        <v>27</v>
      </c>
      <c r="T63" s="37"/>
      <c r="U63" s="38"/>
      <c r="V63" s="39" t="str">
        <f>A63</f>
        <v>晟德六</v>
      </c>
      <c r="W63" s="40">
        <v>3.0000000000000001E-3</v>
      </c>
    </row>
    <row r="64" spans="1:23" s="5" customFormat="1" ht="17.25" customHeight="1" x14ac:dyDescent="0.4">
      <c r="A64" s="34" t="s">
        <v>136</v>
      </c>
      <c r="B64" s="82">
        <v>41684</v>
      </c>
      <c r="C64" s="35" t="s">
        <v>137</v>
      </c>
      <c r="D64" s="83" t="s">
        <v>60</v>
      </c>
      <c r="E64" s="84">
        <v>6.0800000000000007E-2</v>
      </c>
      <c r="F64" s="85">
        <v>2.3E-2</v>
      </c>
      <c r="G64" s="86">
        <v>47000</v>
      </c>
      <c r="H64" s="86">
        <v>47014</v>
      </c>
      <c r="I64" s="87">
        <v>2.5123287671232877</v>
      </c>
      <c r="J64" s="88">
        <v>100</v>
      </c>
      <c r="K64" s="89">
        <v>23.91</v>
      </c>
      <c r="L64" s="90">
        <v>1.0184023421162693</v>
      </c>
      <c r="M64" s="91">
        <v>112.5</v>
      </c>
      <c r="N64" s="92">
        <v>0.10467145790554414</v>
      </c>
      <c r="O64" s="93">
        <v>18580.000000000004</v>
      </c>
      <c r="P64" s="94">
        <v>1</v>
      </c>
      <c r="Q64" s="95">
        <v>5000</v>
      </c>
      <c r="R64" s="94">
        <v>0.35199999999999998</v>
      </c>
      <c r="S64" s="36" t="s">
        <v>28</v>
      </c>
      <c r="T64" s="37"/>
      <c r="U64" s="38"/>
      <c r="V64" s="39" t="str">
        <f>A64</f>
        <v>醣聯四</v>
      </c>
      <c r="W64" s="40">
        <v>3.0000000000000001E-3</v>
      </c>
    </row>
    <row r="65" spans="1:23" s="5" customFormat="1" ht="17.25" customHeight="1" x14ac:dyDescent="0.4">
      <c r="A65" s="34" t="s">
        <v>138</v>
      </c>
      <c r="B65" s="82">
        <v>44383</v>
      </c>
      <c r="C65" s="35" t="s">
        <v>64</v>
      </c>
      <c r="D65" s="83" t="s">
        <v>65</v>
      </c>
      <c r="E65" s="84">
        <v>7.9400000000000012E-2</v>
      </c>
      <c r="F65" s="85">
        <v>0.03</v>
      </c>
      <c r="G65" s="86">
        <v>47014</v>
      </c>
      <c r="H65" s="86">
        <v>47026</v>
      </c>
      <c r="I65" s="87">
        <v>2.5452054794520547</v>
      </c>
      <c r="J65" s="88">
        <v>100</v>
      </c>
      <c r="K65" s="89">
        <v>75</v>
      </c>
      <c r="L65" s="90">
        <v>0.78533333333333333</v>
      </c>
      <c r="M65" s="91">
        <v>102.5</v>
      </c>
      <c r="N65" s="92">
        <v>0.30517826825127337</v>
      </c>
      <c r="O65" s="93">
        <v>10440.000000000002</v>
      </c>
      <c r="P65" s="94">
        <v>1</v>
      </c>
      <c r="Q65" s="95">
        <v>8000</v>
      </c>
      <c r="R65" s="94">
        <v>0.19</v>
      </c>
      <c r="S65" s="36" t="s">
        <v>27</v>
      </c>
      <c r="T65" s="37" t="s">
        <v>3</v>
      </c>
      <c r="U65" s="38"/>
      <c r="V65" s="39" t="str">
        <f>A65</f>
        <v>廣越三</v>
      </c>
      <c r="W65" s="40">
        <v>3.0000000000000001E-3</v>
      </c>
    </row>
    <row r="66" spans="1:23" s="5" customFormat="1" ht="17.25" customHeight="1" x14ac:dyDescent="0.4">
      <c r="A66" s="34" t="s">
        <v>139</v>
      </c>
      <c r="B66" s="82">
        <v>45554</v>
      </c>
      <c r="C66" s="35" t="s">
        <v>140</v>
      </c>
      <c r="D66" s="83" t="s">
        <v>60</v>
      </c>
      <c r="E66" s="84">
        <v>5.4500000000000007E-2</v>
      </c>
      <c r="F66" s="85">
        <v>2.3E-2</v>
      </c>
      <c r="G66" s="86">
        <v>46899</v>
      </c>
      <c r="H66" s="86">
        <v>46913</v>
      </c>
      <c r="I66" s="87">
        <v>2.2356164383561645</v>
      </c>
      <c r="J66" s="88">
        <v>100</v>
      </c>
      <c r="K66" s="89">
        <v>43.4</v>
      </c>
      <c r="L66" s="90">
        <v>0.81336405529953903</v>
      </c>
      <c r="M66" s="91">
        <v>103.45</v>
      </c>
      <c r="N66" s="92">
        <v>0.2718781869688387</v>
      </c>
      <c r="O66" s="93">
        <v>8900.0000000000036</v>
      </c>
      <c r="P66" s="94">
        <v>1</v>
      </c>
      <c r="Q66" s="95">
        <v>5000</v>
      </c>
      <c r="R66" s="94">
        <v>0.25800000000000001</v>
      </c>
      <c r="S66" s="36" t="s">
        <v>27</v>
      </c>
      <c r="T66" s="37"/>
      <c r="U66" s="38"/>
      <c r="V66" s="39" t="str">
        <f>A66</f>
        <v>氣立四</v>
      </c>
      <c r="W66" s="40">
        <v>3.0000000000000001E-3</v>
      </c>
    </row>
    <row r="67" spans="1:23" s="5" customFormat="1" ht="17.25" customHeight="1" x14ac:dyDescent="0.4">
      <c r="A67" s="34" t="s">
        <v>141</v>
      </c>
      <c r="B67" s="82">
        <v>45581</v>
      </c>
      <c r="C67" s="35" t="s">
        <v>69</v>
      </c>
      <c r="D67" s="83" t="s">
        <v>57</v>
      </c>
      <c r="E67" s="84">
        <v>5.9500000000000004E-2</v>
      </c>
      <c r="F67" s="85">
        <v>2.3E-2</v>
      </c>
      <c r="G67" s="86">
        <v>46979</v>
      </c>
      <c r="H67" s="86">
        <v>46993</v>
      </c>
      <c r="I67" s="87">
        <v>2.4547945205479453</v>
      </c>
      <c r="J67" s="88">
        <v>100</v>
      </c>
      <c r="K67" s="89">
        <v>29.8</v>
      </c>
      <c r="L67" s="90">
        <v>0.64093959731543615</v>
      </c>
      <c r="M67" s="91">
        <v>101.2</v>
      </c>
      <c r="N67" s="92">
        <v>0.57893193717277502</v>
      </c>
      <c r="O67" s="93">
        <v>7150.0000000000036</v>
      </c>
      <c r="P67" s="94">
        <v>1</v>
      </c>
      <c r="Q67" s="95">
        <v>3000</v>
      </c>
      <c r="R67" s="94">
        <v>0.39700000000000002</v>
      </c>
      <c r="S67" s="36" t="s">
        <v>27</v>
      </c>
      <c r="T67" s="37"/>
      <c r="U67" s="38"/>
      <c r="V67" s="39" t="str">
        <f>A67</f>
        <v>寶緯一</v>
      </c>
      <c r="W67" s="40">
        <v>3.0000000000000001E-3</v>
      </c>
    </row>
    <row r="68" spans="1:23" s="5" customFormat="1" ht="21" customHeight="1" x14ac:dyDescent="0.4">
      <c r="A68" s="34" t="s">
        <v>142</v>
      </c>
      <c r="B68" s="82">
        <v>47223</v>
      </c>
      <c r="C68" s="35" t="s">
        <v>64</v>
      </c>
      <c r="D68" s="83" t="s">
        <v>77</v>
      </c>
      <c r="E68" s="84">
        <v>7.9500000000000001E-2</v>
      </c>
      <c r="F68" s="85">
        <v>0.03</v>
      </c>
      <c r="G68" s="86">
        <v>47014</v>
      </c>
      <c r="H68" s="86">
        <v>47027</v>
      </c>
      <c r="I68" s="87">
        <v>2.547945205479452</v>
      </c>
      <c r="J68" s="88">
        <v>100</v>
      </c>
      <c r="K68" s="89">
        <v>141.30000000000001</v>
      </c>
      <c r="L68" s="90">
        <v>1.3375796178343946</v>
      </c>
      <c r="M68" s="91">
        <v>138</v>
      </c>
      <c r="N68" s="92">
        <v>3.1714285714285875E-2</v>
      </c>
      <c r="O68" s="93">
        <v>45950</v>
      </c>
      <c r="P68" s="94">
        <v>0.98819999999999997</v>
      </c>
      <c r="Q68" s="95">
        <v>5000</v>
      </c>
      <c r="R68" s="94">
        <v>0.40100000000000002</v>
      </c>
      <c r="S68" s="36" t="s">
        <v>28</v>
      </c>
      <c r="T68" s="37"/>
      <c r="U68" s="38"/>
      <c r="V68" s="39" t="str">
        <f>A68</f>
        <v>國精化三</v>
      </c>
      <c r="W68" s="40">
        <v>3.0000000000000001E-3</v>
      </c>
    </row>
    <row r="69" spans="1:23" s="5" customFormat="1" ht="17.25" customHeight="1" x14ac:dyDescent="0.4">
      <c r="A69" s="34" t="s">
        <v>143</v>
      </c>
      <c r="B69" s="82">
        <v>47393</v>
      </c>
      <c r="C69" s="35" t="s">
        <v>144</v>
      </c>
      <c r="D69" s="83" t="s">
        <v>77</v>
      </c>
      <c r="E69" s="84">
        <v>1.7299999999999999E-2</v>
      </c>
      <c r="F69" s="85">
        <v>2.3E-2</v>
      </c>
      <c r="G69" s="86">
        <v>46309</v>
      </c>
      <c r="H69" s="86">
        <v>46323</v>
      </c>
      <c r="I69" s="87">
        <v>0.61917808219178083</v>
      </c>
      <c r="J69" s="88">
        <v>100</v>
      </c>
      <c r="K69" s="89">
        <v>97.8</v>
      </c>
      <c r="L69" s="90">
        <v>0.78220858895705514</v>
      </c>
      <c r="M69" s="91">
        <v>107.05</v>
      </c>
      <c r="N69" s="92">
        <v>0.36856078431372552</v>
      </c>
      <c r="O69" s="93">
        <v>8779.9999999999964</v>
      </c>
      <c r="P69" s="94">
        <v>0.9921428571428571</v>
      </c>
      <c r="Q69" s="95">
        <v>7000</v>
      </c>
      <c r="R69" s="94">
        <v>0.55300000000000005</v>
      </c>
      <c r="S69" s="36" t="s">
        <v>27</v>
      </c>
      <c r="T69" s="37"/>
      <c r="U69" s="38"/>
      <c r="V69" s="39" t="str">
        <f>A69</f>
        <v>康普三</v>
      </c>
      <c r="W69" s="40">
        <v>3.0000000000000001E-3</v>
      </c>
    </row>
    <row r="70" spans="1:23" s="5" customFormat="1" ht="17.25" customHeight="1" x14ac:dyDescent="0.4">
      <c r="A70" s="34" t="s">
        <v>145</v>
      </c>
      <c r="B70" s="82">
        <v>47394</v>
      </c>
      <c r="C70" s="35" t="s">
        <v>129</v>
      </c>
      <c r="D70" s="83" t="s">
        <v>77</v>
      </c>
      <c r="E70" s="84">
        <v>6.6500000000000004E-2</v>
      </c>
      <c r="F70" s="85">
        <v>2.3E-2</v>
      </c>
      <c r="G70" s="86">
        <v>47091</v>
      </c>
      <c r="H70" s="86">
        <v>47104</v>
      </c>
      <c r="I70" s="87">
        <v>2.7589041095890412</v>
      </c>
      <c r="J70" s="88">
        <v>100</v>
      </c>
      <c r="K70" s="89">
        <v>70.5</v>
      </c>
      <c r="L70" s="90">
        <v>1.0851063829787233</v>
      </c>
      <c r="M70" s="91">
        <v>128</v>
      </c>
      <c r="N70" s="92">
        <v>0.17960784313725497</v>
      </c>
      <c r="O70" s="93">
        <v>34650</v>
      </c>
      <c r="P70" s="94">
        <v>1</v>
      </c>
      <c r="Q70" s="95">
        <v>6000</v>
      </c>
      <c r="R70" s="94">
        <v>0.55300000000000005</v>
      </c>
      <c r="S70" s="36" t="s">
        <v>27</v>
      </c>
      <c r="T70" s="37"/>
      <c r="U70" s="38"/>
      <c r="V70" s="39" t="str">
        <f>A70</f>
        <v>康普四</v>
      </c>
      <c r="W70" s="40">
        <v>3.0000000000000001E-3</v>
      </c>
    </row>
    <row r="71" spans="1:23" s="5" customFormat="1" ht="17.25" customHeight="1" x14ac:dyDescent="0.4">
      <c r="A71" s="34" t="s">
        <v>146</v>
      </c>
      <c r="B71" s="82">
        <v>49066</v>
      </c>
      <c r="C71" s="35" t="s">
        <v>64</v>
      </c>
      <c r="D71" s="83" t="s">
        <v>77</v>
      </c>
      <c r="E71" s="84">
        <v>1.0500000000000001E-2</v>
      </c>
      <c r="F71" s="85">
        <v>3.5000000000000003E-2</v>
      </c>
      <c r="G71" s="86">
        <v>46161</v>
      </c>
      <c r="H71" s="86">
        <v>46175</v>
      </c>
      <c r="I71" s="87">
        <v>0.21369863013698631</v>
      </c>
      <c r="J71" s="88">
        <v>100</v>
      </c>
      <c r="K71" s="89">
        <v>26.6</v>
      </c>
      <c r="L71" s="90">
        <v>0.98120300751879697</v>
      </c>
      <c r="M71" s="91">
        <v>104.8</v>
      </c>
      <c r="N71" s="92">
        <v>6.8076628352490426E-2</v>
      </c>
      <c r="O71" s="93">
        <v>5849.9999999999973</v>
      </c>
      <c r="P71" s="94">
        <v>0.43013333333333331</v>
      </c>
      <c r="Q71" s="95">
        <v>15000</v>
      </c>
      <c r="R71" s="94">
        <v>0.35199999999999998</v>
      </c>
      <c r="S71" s="36" t="s">
        <v>28</v>
      </c>
      <c r="T71" s="37"/>
      <c r="U71" s="38"/>
      <c r="V71" s="39" t="str">
        <f>A71</f>
        <v>正文六</v>
      </c>
      <c r="W71" s="40">
        <v>3.0000000000000001E-3</v>
      </c>
    </row>
    <row r="72" spans="1:23" s="5" customFormat="1" ht="15.75" customHeight="1" x14ac:dyDescent="0.4">
      <c r="A72" s="34" t="s">
        <v>147</v>
      </c>
      <c r="B72" s="82">
        <v>49674</v>
      </c>
      <c r="C72" s="35" t="s">
        <v>59</v>
      </c>
      <c r="D72" s="83" t="s">
        <v>77</v>
      </c>
      <c r="E72" s="84">
        <v>7.1199999999999999E-2</v>
      </c>
      <c r="F72" s="85">
        <v>2.4E-2</v>
      </c>
      <c r="G72" s="86">
        <v>47119</v>
      </c>
      <c r="H72" s="86">
        <v>47133</v>
      </c>
      <c r="I72" s="87">
        <v>2.8383561643835615</v>
      </c>
      <c r="J72" s="88">
        <v>100</v>
      </c>
      <c r="K72" s="89">
        <v>147</v>
      </c>
      <c r="L72" s="90">
        <v>1.3503401360544216</v>
      </c>
      <c r="M72" s="91">
        <v>142.65</v>
      </c>
      <c r="N72" s="92">
        <v>5.6400503778337635E-2</v>
      </c>
      <c r="O72" s="93">
        <v>49770</v>
      </c>
      <c r="P72" s="94">
        <v>1</v>
      </c>
      <c r="Q72" s="95">
        <v>20000</v>
      </c>
      <c r="R72" s="94">
        <v>0.78400000000000003</v>
      </c>
      <c r="S72" s="36" t="s">
        <v>27</v>
      </c>
      <c r="T72" s="37"/>
      <c r="U72" s="41"/>
      <c r="V72" s="39" t="str">
        <f>A72</f>
        <v>十銓四</v>
      </c>
      <c r="W72" s="40">
        <v>3.0000000000000001E-3</v>
      </c>
    </row>
    <row r="73" spans="1:23" s="5" customFormat="1" ht="17.25" customHeight="1" x14ac:dyDescent="0.4">
      <c r="A73" s="34" t="s">
        <v>148</v>
      </c>
      <c r="B73" s="82">
        <v>49793</v>
      </c>
      <c r="C73" s="35" t="s">
        <v>64</v>
      </c>
      <c r="D73" s="83" t="s">
        <v>62</v>
      </c>
      <c r="E73" s="84">
        <v>2.24E-2</v>
      </c>
      <c r="F73" s="85">
        <v>0.04</v>
      </c>
      <c r="G73" s="86">
        <v>46351</v>
      </c>
      <c r="H73" s="86">
        <v>46365</v>
      </c>
      <c r="I73" s="87">
        <v>0.73424657534246573</v>
      </c>
      <c r="J73" s="88">
        <v>101.0025</v>
      </c>
      <c r="K73" s="89">
        <v>176.5</v>
      </c>
      <c r="L73" s="90">
        <v>2.2407932011331444</v>
      </c>
      <c r="M73" s="91">
        <v>216</v>
      </c>
      <c r="N73" s="92">
        <v>-3.6055625790139087E-2</v>
      </c>
      <c r="O73" s="93">
        <v>118239.99999999999</v>
      </c>
      <c r="P73" s="94">
        <v>0.72</v>
      </c>
      <c r="Q73" s="95">
        <v>6000</v>
      </c>
      <c r="R73" s="94">
        <v>0.66600000000000004</v>
      </c>
      <c r="S73" s="36" t="s">
        <v>28</v>
      </c>
      <c r="T73" s="37"/>
      <c r="U73" s="38"/>
      <c r="V73" s="39" t="str">
        <f>A73</f>
        <v>華星光三</v>
      </c>
      <c r="W73" s="40">
        <v>3.0000000000000001E-3</v>
      </c>
    </row>
    <row r="74" spans="1:23" s="5" customFormat="1" ht="17.25" customHeight="1" x14ac:dyDescent="0.4">
      <c r="A74" s="34" t="s">
        <v>149</v>
      </c>
      <c r="B74" s="82">
        <v>49794</v>
      </c>
      <c r="C74" s="35" t="s">
        <v>64</v>
      </c>
      <c r="D74" s="83" t="s">
        <v>62</v>
      </c>
      <c r="E74" s="84">
        <v>3.4200000000000001E-2</v>
      </c>
      <c r="F74" s="85">
        <v>0.04</v>
      </c>
      <c r="G74" s="86">
        <v>46367</v>
      </c>
      <c r="H74" s="86">
        <v>46381</v>
      </c>
      <c r="I74" s="87">
        <v>0.77808219178082194</v>
      </c>
      <c r="J74" s="88">
        <v>100</v>
      </c>
      <c r="K74" s="89">
        <v>204.3</v>
      </c>
      <c r="L74" s="90">
        <v>1.9358786098874203</v>
      </c>
      <c r="M74" s="91">
        <v>200</v>
      </c>
      <c r="N74" s="92">
        <v>3.3122629582806699E-2</v>
      </c>
      <c r="O74" s="93">
        <v>103420</v>
      </c>
      <c r="P74" s="94">
        <v>0.67849999999999999</v>
      </c>
      <c r="Q74" s="95">
        <v>2000</v>
      </c>
      <c r="R74" s="94">
        <v>0.66600000000000004</v>
      </c>
      <c r="S74" s="36" t="s">
        <v>28</v>
      </c>
      <c r="T74" s="37"/>
      <c r="U74" s="38"/>
      <c r="V74" s="39" t="str">
        <f>A74</f>
        <v>華星光四</v>
      </c>
      <c r="W74" s="40">
        <v>3.0000000000000001E-3</v>
      </c>
    </row>
    <row r="75" spans="1:23" s="5" customFormat="1" ht="17.25" customHeight="1" x14ac:dyDescent="0.4">
      <c r="A75" s="34" t="s">
        <v>150</v>
      </c>
      <c r="B75" s="82">
        <v>52011</v>
      </c>
      <c r="C75" s="35" t="s">
        <v>151</v>
      </c>
      <c r="D75" s="83" t="s">
        <v>62</v>
      </c>
      <c r="E75" s="84">
        <v>6.25E-2</v>
      </c>
      <c r="F75" s="85">
        <v>2.3E-2</v>
      </c>
      <c r="G75" s="86">
        <v>47028</v>
      </c>
      <c r="H75" s="86">
        <v>47041</v>
      </c>
      <c r="I75" s="87">
        <v>2.5863013698630137</v>
      </c>
      <c r="J75" s="88">
        <v>100</v>
      </c>
      <c r="K75" s="89">
        <v>38.5</v>
      </c>
      <c r="L75" s="90">
        <v>1.0285714285714287</v>
      </c>
      <c r="M75" s="91">
        <v>118.95</v>
      </c>
      <c r="N75" s="92">
        <v>0.15645833333333314</v>
      </c>
      <c r="O75" s="93">
        <v>25200</v>
      </c>
      <c r="P75" s="94">
        <v>1</v>
      </c>
      <c r="Q75" s="95">
        <v>1000</v>
      </c>
      <c r="R75" s="94">
        <v>0.35699999999999998</v>
      </c>
      <c r="S75" s="36" t="s">
        <v>27</v>
      </c>
      <c r="T75" s="37"/>
      <c r="U75" s="38"/>
      <c r="V75" s="39" t="str">
        <f>A75</f>
        <v>凱衛一</v>
      </c>
      <c r="W75" s="40">
        <v>3.0000000000000001E-3</v>
      </c>
    </row>
    <row r="76" spans="1:23" s="5" customFormat="1" ht="17.25" customHeight="1" x14ac:dyDescent="0.4">
      <c r="A76" s="34" t="s">
        <v>152</v>
      </c>
      <c r="B76" s="82">
        <v>52303</v>
      </c>
      <c r="C76" s="35" t="s">
        <v>153</v>
      </c>
      <c r="D76" s="83" t="s">
        <v>60</v>
      </c>
      <c r="E76" s="84">
        <v>1.1199999999999998E-2</v>
      </c>
      <c r="F76" s="85">
        <v>2.3E-2</v>
      </c>
      <c r="G76" s="86">
        <v>46213</v>
      </c>
      <c r="H76" s="86">
        <v>46227</v>
      </c>
      <c r="I76" s="87">
        <v>0.35616438356164382</v>
      </c>
      <c r="J76" s="88">
        <v>100</v>
      </c>
      <c r="K76" s="89">
        <v>22</v>
      </c>
      <c r="L76" s="90">
        <v>0.73409090909090902</v>
      </c>
      <c r="M76" s="91">
        <v>102.05</v>
      </c>
      <c r="N76" s="92">
        <v>0.39015479876160991</v>
      </c>
      <c r="O76" s="93">
        <v>3169.9999999999973</v>
      </c>
      <c r="P76" s="94">
        <v>0.19866666666666666</v>
      </c>
      <c r="Q76" s="95">
        <v>3000</v>
      </c>
      <c r="R76" s="94">
        <v>0.45</v>
      </c>
      <c r="S76" s="36" t="s">
        <v>27</v>
      </c>
      <c r="T76" s="37"/>
      <c r="U76" s="38"/>
      <c r="V76" s="39" t="str">
        <f>A76</f>
        <v>雷笛克光學三</v>
      </c>
      <c r="W76" s="40">
        <v>3.0000000000000001E-3</v>
      </c>
    </row>
    <row r="77" spans="1:23" s="5" customFormat="1" ht="17.25" customHeight="1" x14ac:dyDescent="0.4">
      <c r="A77" s="34" t="s">
        <v>154</v>
      </c>
      <c r="B77" s="82">
        <v>52635</v>
      </c>
      <c r="C77" s="35" t="s">
        <v>155</v>
      </c>
      <c r="D77" s="83" t="s">
        <v>60</v>
      </c>
      <c r="E77" s="84">
        <v>2.6299999999999997E-2</v>
      </c>
      <c r="F77" s="85">
        <v>2.4E-2</v>
      </c>
      <c r="G77" s="86">
        <v>46436</v>
      </c>
      <c r="H77" s="86">
        <v>46450</v>
      </c>
      <c r="I77" s="87">
        <v>0.9671232876712329</v>
      </c>
      <c r="J77" s="88">
        <v>100</v>
      </c>
      <c r="K77" s="89">
        <v>110.4</v>
      </c>
      <c r="L77" s="90">
        <v>0.89673913043478271</v>
      </c>
      <c r="M77" s="91">
        <v>115</v>
      </c>
      <c r="N77" s="92">
        <v>0.28242424242424236</v>
      </c>
      <c r="O77" s="93">
        <v>17630</v>
      </c>
      <c r="P77" s="94">
        <v>0.49837500000000001</v>
      </c>
      <c r="Q77" s="95">
        <v>8000</v>
      </c>
      <c r="R77" s="94">
        <v>0.48399999999999999</v>
      </c>
      <c r="S77" s="36" t="s">
        <v>27</v>
      </c>
      <c r="T77" s="37"/>
      <c r="U77" s="38"/>
      <c r="V77" s="39" t="str">
        <f>A77</f>
        <v>智崴五</v>
      </c>
      <c r="W77" s="40">
        <v>3.0000000000000001E-3</v>
      </c>
    </row>
    <row r="78" spans="1:23" s="5" customFormat="1" ht="17.25" customHeight="1" x14ac:dyDescent="0.4">
      <c r="A78" s="34" t="s">
        <v>156</v>
      </c>
      <c r="B78" s="82">
        <v>53064</v>
      </c>
      <c r="C78" s="35" t="s">
        <v>157</v>
      </c>
      <c r="D78" s="83" t="s">
        <v>65</v>
      </c>
      <c r="E78" s="84">
        <v>1.7999999999999999E-2</v>
      </c>
      <c r="F78" s="85">
        <v>2.3E-2</v>
      </c>
      <c r="G78" s="86">
        <v>46321</v>
      </c>
      <c r="H78" s="86">
        <v>46334</v>
      </c>
      <c r="I78" s="87">
        <v>0.64931506849315068</v>
      </c>
      <c r="J78" s="88">
        <v>100</v>
      </c>
      <c r="K78" s="89">
        <v>121.3</v>
      </c>
      <c r="L78" s="90">
        <v>0.7230008244023084</v>
      </c>
      <c r="M78" s="91">
        <v>100.5</v>
      </c>
      <c r="N78" s="92">
        <v>0.3900399087799315</v>
      </c>
      <c r="O78" s="93">
        <v>2300</v>
      </c>
      <c r="P78" s="94">
        <v>0.99990000000000001</v>
      </c>
      <c r="Q78" s="95">
        <v>10000</v>
      </c>
      <c r="R78" s="94">
        <v>0.23</v>
      </c>
      <c r="S78" s="36" t="s">
        <v>27</v>
      </c>
      <c r="T78" s="37"/>
      <c r="U78" s="38"/>
      <c r="V78" s="39" t="str">
        <f>A78</f>
        <v>桂盟四</v>
      </c>
      <c r="W78" s="40">
        <v>3.0000000000000001E-3</v>
      </c>
    </row>
    <row r="79" spans="1:23" s="5" customFormat="1" ht="17.25" customHeight="1" x14ac:dyDescent="0.4">
      <c r="A79" s="34" t="s">
        <v>158</v>
      </c>
      <c r="B79" s="82">
        <v>53887</v>
      </c>
      <c r="C79" s="35" t="s">
        <v>64</v>
      </c>
      <c r="D79" s="83" t="s">
        <v>65</v>
      </c>
      <c r="E79" s="84">
        <v>2.1899999999999999E-2</v>
      </c>
      <c r="F79" s="85">
        <v>2.5999999999999999E-2</v>
      </c>
      <c r="G79" s="86">
        <v>46349</v>
      </c>
      <c r="H79" s="86">
        <v>46362</v>
      </c>
      <c r="I79" s="87">
        <v>0.72602739726027399</v>
      </c>
      <c r="J79" s="88">
        <v>100</v>
      </c>
      <c r="K79" s="89">
        <v>134.6</v>
      </c>
      <c r="L79" s="90">
        <v>0.58172362555720658</v>
      </c>
      <c r="M79" s="91">
        <v>101.8</v>
      </c>
      <c r="N79" s="92">
        <v>0.74997190293741989</v>
      </c>
      <c r="O79" s="93">
        <v>3989.9999999999968</v>
      </c>
      <c r="P79" s="94">
        <v>1</v>
      </c>
      <c r="Q79" s="95">
        <v>30000</v>
      </c>
      <c r="R79" s="94">
        <v>0.28399999999999997</v>
      </c>
      <c r="S79" s="36" t="s">
        <v>28</v>
      </c>
      <c r="T79" s="37"/>
      <c r="U79" s="38"/>
      <c r="V79" s="39" t="str">
        <f>A79</f>
        <v>中磊七</v>
      </c>
      <c r="W79" s="40">
        <v>3.0000000000000001E-3</v>
      </c>
    </row>
    <row r="80" spans="1:23" s="5" customFormat="1" ht="17.149999999999999" customHeight="1" x14ac:dyDescent="0.4">
      <c r="A80" s="42" t="s">
        <v>159</v>
      </c>
      <c r="B80" s="82">
        <v>54501</v>
      </c>
      <c r="C80" s="35" t="s">
        <v>106</v>
      </c>
      <c r="D80" s="83" t="s">
        <v>60</v>
      </c>
      <c r="E80" s="84">
        <v>4.9400000000000006E-2</v>
      </c>
      <c r="F80" s="85">
        <v>2.3E-2</v>
      </c>
      <c r="G80" s="86">
        <v>46819</v>
      </c>
      <c r="H80" s="86">
        <v>46833</v>
      </c>
      <c r="I80" s="87">
        <v>2.0164383561643837</v>
      </c>
      <c r="J80" s="88">
        <v>100</v>
      </c>
      <c r="K80" s="89">
        <v>17.399999999999999</v>
      </c>
      <c r="L80" s="90">
        <v>0.8477011494252874</v>
      </c>
      <c r="M80" s="91">
        <v>103.25</v>
      </c>
      <c r="N80" s="92">
        <v>0.218</v>
      </c>
      <c r="O80" s="93">
        <v>8190</v>
      </c>
      <c r="P80" s="94">
        <v>0.99960000000000004</v>
      </c>
      <c r="Q80" s="95">
        <v>5000</v>
      </c>
      <c r="R80" s="94">
        <v>0.436</v>
      </c>
      <c r="S80" s="36" t="s">
        <v>27</v>
      </c>
      <c r="T80" s="37" t="s">
        <v>54</v>
      </c>
      <c r="U80" s="38"/>
      <c r="V80" s="39" t="str">
        <f>A80</f>
        <v>南良一</v>
      </c>
      <c r="W80" s="40">
        <v>3.0000000000000001E-3</v>
      </c>
    </row>
    <row r="81" spans="1:23" s="5" customFormat="1" ht="17.149999999999999" customHeight="1" x14ac:dyDescent="0.4">
      <c r="A81" s="34" t="s">
        <v>160</v>
      </c>
      <c r="B81" s="82">
        <v>56086</v>
      </c>
      <c r="C81" s="35" t="s">
        <v>161</v>
      </c>
      <c r="D81" s="83" t="s">
        <v>57</v>
      </c>
      <c r="E81" s="84">
        <v>9.4000000000000004E-3</v>
      </c>
      <c r="F81" s="85">
        <v>2.4E-2</v>
      </c>
      <c r="G81" s="86">
        <v>46181</v>
      </c>
      <c r="H81" s="86">
        <v>46194</v>
      </c>
      <c r="I81" s="87">
        <v>0.26575342465753427</v>
      </c>
      <c r="J81" s="88">
        <v>100</v>
      </c>
      <c r="K81" s="89">
        <v>22.1</v>
      </c>
      <c r="L81" s="90">
        <v>0.74886877828054299</v>
      </c>
      <c r="M81" s="91">
        <v>101.15</v>
      </c>
      <c r="N81" s="92">
        <v>0.35070392749244728</v>
      </c>
      <c r="O81" s="93">
        <v>2090.0000000000059</v>
      </c>
      <c r="P81" s="94">
        <v>0.99980000000000002</v>
      </c>
      <c r="Q81" s="95">
        <v>5000</v>
      </c>
      <c r="R81" s="94">
        <v>0.19800000000000001</v>
      </c>
      <c r="S81" s="36" t="s">
        <v>27</v>
      </c>
      <c r="T81" s="37"/>
      <c r="U81" s="38"/>
      <c r="V81" s="39" t="str">
        <f>A81</f>
        <v>四維航六</v>
      </c>
      <c r="W81" s="40">
        <v>3.0000000000000001E-3</v>
      </c>
    </row>
    <row r="82" spans="1:23" s="5" customFormat="1" ht="18" customHeight="1" x14ac:dyDescent="0.4">
      <c r="A82" s="34" t="s">
        <v>162</v>
      </c>
      <c r="B82" s="82">
        <v>56087</v>
      </c>
      <c r="C82" s="35" t="s">
        <v>129</v>
      </c>
      <c r="D82" s="83" t="s">
        <v>57</v>
      </c>
      <c r="E82" s="84">
        <v>4.3400000000000008E-2</v>
      </c>
      <c r="F82" s="85">
        <v>2.3E-2</v>
      </c>
      <c r="G82" s="86">
        <v>46724</v>
      </c>
      <c r="H82" s="86">
        <v>46738</v>
      </c>
      <c r="I82" s="87">
        <v>1.7561643835616438</v>
      </c>
      <c r="J82" s="88">
        <v>100</v>
      </c>
      <c r="K82" s="89">
        <v>19.3</v>
      </c>
      <c r="L82" s="90">
        <v>0.85751295336787559</v>
      </c>
      <c r="M82" s="91">
        <v>111.9</v>
      </c>
      <c r="N82" s="92">
        <v>0.30493655589123875</v>
      </c>
      <c r="O82" s="93">
        <v>16240.000000000004</v>
      </c>
      <c r="P82" s="94">
        <v>1</v>
      </c>
      <c r="Q82" s="95">
        <v>6000</v>
      </c>
      <c r="R82" s="94">
        <v>0.19800000000000001</v>
      </c>
      <c r="S82" s="36" t="s">
        <v>27</v>
      </c>
      <c r="T82" s="37"/>
      <c r="U82" s="38"/>
      <c r="V82" s="39" t="str">
        <f>A82</f>
        <v>四維航七</v>
      </c>
      <c r="W82" s="40">
        <v>3.0000000000000001E-3</v>
      </c>
    </row>
    <row r="83" spans="1:23" s="5" customFormat="1" ht="18" customHeight="1" x14ac:dyDescent="0.4">
      <c r="A83" s="34" t="s">
        <v>163</v>
      </c>
      <c r="B83" s="82">
        <v>61875</v>
      </c>
      <c r="C83" s="35" t="s">
        <v>64</v>
      </c>
      <c r="D83" s="83" t="s">
        <v>77</v>
      </c>
      <c r="E83" s="84">
        <v>3.9900000000000005E-2</v>
      </c>
      <c r="F83" s="85">
        <v>2.8000000000000001E-2</v>
      </c>
      <c r="G83" s="86">
        <v>46566</v>
      </c>
      <c r="H83" s="86">
        <v>46578</v>
      </c>
      <c r="I83" s="87">
        <v>1.3178082191780822</v>
      </c>
      <c r="J83" s="88">
        <v>100</v>
      </c>
      <c r="K83" s="89">
        <v>276.8</v>
      </c>
      <c r="L83" s="90">
        <v>2.2796242774566471</v>
      </c>
      <c r="M83" s="91">
        <v>222</v>
      </c>
      <c r="N83" s="92">
        <v>-2.6155309033280387E-2</v>
      </c>
      <c r="O83" s="93">
        <v>125990</v>
      </c>
      <c r="P83" s="94">
        <v>0.26779999999999998</v>
      </c>
      <c r="Q83" s="95">
        <v>5000</v>
      </c>
      <c r="R83" s="94">
        <v>0.36699999999999999</v>
      </c>
      <c r="S83" s="36" t="s">
        <v>28</v>
      </c>
      <c r="T83" s="37"/>
      <c r="U83" s="38"/>
      <c r="V83" s="39" t="str">
        <f>A83</f>
        <v>萬潤五</v>
      </c>
      <c r="W83" s="40">
        <v>3.0000000000000001E-3</v>
      </c>
    </row>
    <row r="84" spans="1:23" s="5" customFormat="1" ht="17.149999999999999" customHeight="1" x14ac:dyDescent="0.4">
      <c r="A84" s="34" t="s">
        <v>164</v>
      </c>
      <c r="B84" s="82">
        <v>61894</v>
      </c>
      <c r="C84" s="35" t="s">
        <v>64</v>
      </c>
      <c r="D84" s="83" t="s">
        <v>65</v>
      </c>
      <c r="E84" s="84">
        <v>1.5199999999999998E-2</v>
      </c>
      <c r="F84" s="85">
        <v>0.03</v>
      </c>
      <c r="G84" s="86">
        <v>46322</v>
      </c>
      <c r="H84" s="86">
        <v>46336</v>
      </c>
      <c r="I84" s="87">
        <v>0.65479452054794518</v>
      </c>
      <c r="J84" s="88">
        <v>100.75190000000001</v>
      </c>
      <c r="K84" s="89">
        <v>43.14</v>
      </c>
      <c r="L84" s="90">
        <v>1.033843300880853</v>
      </c>
      <c r="M84" s="91">
        <v>117.7</v>
      </c>
      <c r="N84" s="92">
        <v>0.13847040358744411</v>
      </c>
      <c r="O84" s="93">
        <v>19220</v>
      </c>
      <c r="P84" s="94">
        <v>0.24959999999999999</v>
      </c>
      <c r="Q84" s="95">
        <v>5000</v>
      </c>
      <c r="R84" s="94">
        <v>0.54</v>
      </c>
      <c r="S84" s="36" t="s">
        <v>27</v>
      </c>
      <c r="T84" s="37"/>
      <c r="U84" s="38"/>
      <c r="V84" s="39" t="str">
        <f>A84</f>
        <v>豐藝四</v>
      </c>
      <c r="W84" s="40">
        <v>3.0000000000000001E-3</v>
      </c>
    </row>
    <row r="85" spans="1:23" s="5" customFormat="1" ht="17.25" customHeight="1" x14ac:dyDescent="0.4">
      <c r="A85" s="34" t="s">
        <v>165</v>
      </c>
      <c r="B85" s="82">
        <v>61993</v>
      </c>
      <c r="C85" s="35" t="s">
        <v>166</v>
      </c>
      <c r="D85" s="83" t="s">
        <v>60</v>
      </c>
      <c r="E85" s="84">
        <v>4.0600000000000004E-2</v>
      </c>
      <c r="F85" s="85">
        <v>2.3E-2</v>
      </c>
      <c r="G85" s="86">
        <v>46758</v>
      </c>
      <c r="H85" s="86">
        <v>46772</v>
      </c>
      <c r="I85" s="87">
        <v>1.8493150684931507</v>
      </c>
      <c r="J85" s="88">
        <v>100.5</v>
      </c>
      <c r="K85" s="89">
        <v>104.6</v>
      </c>
      <c r="L85" s="90">
        <v>0.89579349904397698</v>
      </c>
      <c r="M85" s="91">
        <v>123.5</v>
      </c>
      <c r="N85" s="92">
        <v>0.37866595517609397</v>
      </c>
      <c r="O85" s="93">
        <v>27560</v>
      </c>
      <c r="P85" s="94">
        <v>1</v>
      </c>
      <c r="Q85" s="95">
        <v>2500</v>
      </c>
      <c r="R85" s="94">
        <v>0.55200000000000005</v>
      </c>
      <c r="S85" s="36" t="s">
        <v>27</v>
      </c>
      <c r="T85" s="37"/>
      <c r="U85" s="38"/>
      <c r="V85" s="39" t="str">
        <f>A85</f>
        <v>天品三</v>
      </c>
      <c r="W85" s="40">
        <v>3.0000000000000001E-3</v>
      </c>
    </row>
    <row r="86" spans="1:23" s="5" customFormat="1" ht="17.149999999999999" customHeight="1" x14ac:dyDescent="0.4">
      <c r="A86" s="34" t="s">
        <v>167</v>
      </c>
      <c r="B86" s="82">
        <v>62093</v>
      </c>
      <c r="C86" s="35" t="s">
        <v>120</v>
      </c>
      <c r="D86" s="83" t="s">
        <v>60</v>
      </c>
      <c r="E86" s="84">
        <v>6.3E-2</v>
      </c>
      <c r="F86" s="85">
        <v>2.3E-2</v>
      </c>
      <c r="G86" s="86">
        <v>47035</v>
      </c>
      <c r="H86" s="86">
        <v>47049</v>
      </c>
      <c r="I86" s="87">
        <v>2.6082191780821917</v>
      </c>
      <c r="J86" s="88">
        <v>100</v>
      </c>
      <c r="K86" s="89">
        <v>38.6</v>
      </c>
      <c r="L86" s="90">
        <v>1.3626943005181347</v>
      </c>
      <c r="M86" s="91">
        <v>140</v>
      </c>
      <c r="N86" s="92">
        <v>2.7376425855513409E-2</v>
      </c>
      <c r="O86" s="93">
        <v>46300</v>
      </c>
      <c r="P86" s="94">
        <v>0.56733333333333336</v>
      </c>
      <c r="Q86" s="95">
        <v>4500</v>
      </c>
      <c r="R86" s="94">
        <v>0.71099999999999997</v>
      </c>
      <c r="S86" s="36" t="s">
        <v>28</v>
      </c>
      <c r="T86" s="37"/>
      <c r="U86" s="38"/>
      <c r="V86" s="39" t="str">
        <f>A86</f>
        <v>今國光三</v>
      </c>
      <c r="W86" s="40">
        <v>3.0000000000000001E-3</v>
      </c>
    </row>
    <row r="87" spans="1:23" s="5" customFormat="1" ht="17.25" customHeight="1" x14ac:dyDescent="0.4">
      <c r="A87" s="34" t="s">
        <v>168</v>
      </c>
      <c r="B87" s="82">
        <v>62194</v>
      </c>
      <c r="C87" s="35" t="s">
        <v>155</v>
      </c>
      <c r="D87" s="83" t="s">
        <v>98</v>
      </c>
      <c r="E87" s="84">
        <v>5.7700000000000008E-2</v>
      </c>
      <c r="F87" s="85">
        <v>2.4E-2</v>
      </c>
      <c r="G87" s="86">
        <v>47028</v>
      </c>
      <c r="H87" s="86">
        <v>47042</v>
      </c>
      <c r="I87" s="87">
        <v>2.5890410958904111</v>
      </c>
      <c r="J87" s="88">
        <v>100.75190000000001</v>
      </c>
      <c r="K87" s="89">
        <v>21.17</v>
      </c>
      <c r="L87" s="90">
        <v>0.70382616910722717</v>
      </c>
      <c r="M87" s="91">
        <v>111</v>
      </c>
      <c r="N87" s="92">
        <v>0.57709395973154365</v>
      </c>
      <c r="O87" s="93">
        <v>16770</v>
      </c>
      <c r="P87" s="94">
        <v>1</v>
      </c>
      <c r="Q87" s="95">
        <v>6000</v>
      </c>
      <c r="R87" s="94">
        <v>0.44800000000000001</v>
      </c>
      <c r="S87" s="36" t="s">
        <v>27</v>
      </c>
      <c r="T87" s="37"/>
      <c r="U87" s="38"/>
      <c r="V87" s="39" t="str">
        <f>A87</f>
        <v>富旺四</v>
      </c>
      <c r="W87" s="40">
        <v>3.0000000000000001E-3</v>
      </c>
    </row>
    <row r="88" spans="1:23" s="5" customFormat="1" ht="17.25" customHeight="1" x14ac:dyDescent="0.4">
      <c r="A88" s="34" t="s">
        <v>169</v>
      </c>
      <c r="B88" s="82">
        <v>62745</v>
      </c>
      <c r="C88" s="35" t="s">
        <v>64</v>
      </c>
      <c r="D88" s="83" t="s">
        <v>65</v>
      </c>
      <c r="E88" s="84">
        <v>6.9700000000000012E-2</v>
      </c>
      <c r="F88" s="85">
        <v>2.5000000000000001E-2</v>
      </c>
      <c r="G88" s="86">
        <v>47056</v>
      </c>
      <c r="H88" s="86">
        <v>47070</v>
      </c>
      <c r="I88" s="87">
        <v>2.6657534246575341</v>
      </c>
      <c r="J88" s="88">
        <v>100</v>
      </c>
      <c r="K88" s="89">
        <v>386</v>
      </c>
      <c r="L88" s="90">
        <v>1.2875647668393781</v>
      </c>
      <c r="M88" s="91">
        <v>144.5</v>
      </c>
      <c r="N88" s="92">
        <v>0.12227364185110667</v>
      </c>
      <c r="O88" s="93">
        <v>51470.000000000007</v>
      </c>
      <c r="P88" s="94">
        <v>1</v>
      </c>
      <c r="Q88" s="95">
        <v>40000</v>
      </c>
      <c r="R88" s="94">
        <v>0.45800000000000002</v>
      </c>
      <c r="S88" s="36" t="s">
        <v>27</v>
      </c>
      <c r="T88" s="37"/>
      <c r="U88" s="38"/>
      <c r="V88" s="39" t="str">
        <f>A88</f>
        <v>台燿五</v>
      </c>
      <c r="W88" s="40">
        <v>3.0000000000000001E-3</v>
      </c>
    </row>
    <row r="89" spans="1:23" s="5" customFormat="1" ht="17.149999999999999" customHeight="1" x14ac:dyDescent="0.4">
      <c r="A89" s="34" t="s">
        <v>170</v>
      </c>
      <c r="B89" s="82">
        <v>62843</v>
      </c>
      <c r="C89" s="35" t="s">
        <v>64</v>
      </c>
      <c r="D89" s="83" t="s">
        <v>65</v>
      </c>
      <c r="E89" s="84">
        <v>2.2499999999999999E-2</v>
      </c>
      <c r="F89" s="85">
        <v>2.5999999999999999E-2</v>
      </c>
      <c r="G89" s="86">
        <v>46356</v>
      </c>
      <c r="H89" s="86">
        <v>46370</v>
      </c>
      <c r="I89" s="87">
        <v>0.74794520547945209</v>
      </c>
      <c r="J89" s="88">
        <v>100</v>
      </c>
      <c r="K89" s="89">
        <v>86.6</v>
      </c>
      <c r="L89" s="90">
        <v>0.86374133949191689</v>
      </c>
      <c r="M89" s="91">
        <v>114</v>
      </c>
      <c r="N89" s="92">
        <v>0.31983957219251336</v>
      </c>
      <c r="O89" s="93">
        <v>16250</v>
      </c>
      <c r="P89" s="94">
        <v>1</v>
      </c>
      <c r="Q89" s="95">
        <v>7000</v>
      </c>
      <c r="R89" s="94">
        <v>0.42899999999999999</v>
      </c>
      <c r="S89" s="36" t="s">
        <v>27</v>
      </c>
      <c r="T89" s="37"/>
      <c r="U89" s="38"/>
      <c r="V89" s="39" t="str">
        <f>A89</f>
        <v>佳邦三</v>
      </c>
      <c r="W89" s="40">
        <v>3.0000000000000001E-3</v>
      </c>
    </row>
    <row r="90" spans="1:23" s="5" customFormat="1" ht="17.25" customHeight="1" x14ac:dyDescent="0.4">
      <c r="A90" s="34" t="s">
        <v>171</v>
      </c>
      <c r="B90" s="82">
        <v>64251</v>
      </c>
      <c r="C90" s="35" t="s">
        <v>166</v>
      </c>
      <c r="D90" s="83" t="s">
        <v>57</v>
      </c>
      <c r="E90" s="84">
        <v>3.9500000000000007E-2</v>
      </c>
      <c r="F90" s="85">
        <v>2.3E-2</v>
      </c>
      <c r="G90" s="86">
        <v>46661</v>
      </c>
      <c r="H90" s="86">
        <v>46675</v>
      </c>
      <c r="I90" s="87">
        <v>1.5835616438356164</v>
      </c>
      <c r="J90" s="88">
        <v>100</v>
      </c>
      <c r="K90" s="89">
        <v>58.7</v>
      </c>
      <c r="L90" s="90">
        <v>1.1465076660988074</v>
      </c>
      <c r="M90" s="91">
        <v>122</v>
      </c>
      <c r="N90" s="92">
        <v>6.4101040118870883E-2</v>
      </c>
      <c r="O90" s="93">
        <v>25950</v>
      </c>
      <c r="P90" s="94">
        <v>0.31900000000000001</v>
      </c>
      <c r="Q90" s="95">
        <v>2000</v>
      </c>
      <c r="R90" s="94">
        <v>0.373</v>
      </c>
      <c r="S90" s="36" t="s">
        <v>27</v>
      </c>
      <c r="T90" s="37"/>
      <c r="U90" s="38"/>
      <c r="V90" s="39" t="str">
        <f>A90</f>
        <v>易發一</v>
      </c>
      <c r="W90" s="40">
        <v>3.0000000000000001E-3</v>
      </c>
    </row>
    <row r="91" spans="1:23" s="5" customFormat="1" ht="17.25" customHeight="1" x14ac:dyDescent="0.4">
      <c r="A91" s="34" t="s">
        <v>172</v>
      </c>
      <c r="B91" s="82">
        <v>64422</v>
      </c>
      <c r="C91" s="35" t="s">
        <v>64</v>
      </c>
      <c r="D91" s="83" t="s">
        <v>77</v>
      </c>
      <c r="E91" s="84">
        <v>5.4400000000000004E-2</v>
      </c>
      <c r="F91" s="85">
        <v>0.03</v>
      </c>
      <c r="G91" s="86">
        <v>46708</v>
      </c>
      <c r="H91" s="86">
        <v>46722</v>
      </c>
      <c r="I91" s="87">
        <v>1.7123287671232876</v>
      </c>
      <c r="J91" s="88">
        <v>100</v>
      </c>
      <c r="K91" s="89">
        <v>1103.5</v>
      </c>
      <c r="L91" s="90">
        <v>1.5360217489805166</v>
      </c>
      <c r="M91" s="91">
        <v>167</v>
      </c>
      <c r="N91" s="92">
        <v>8.7224188790560445E-2</v>
      </c>
      <c r="O91" s="93">
        <v>72440</v>
      </c>
      <c r="P91" s="94">
        <v>0.87590000000000001</v>
      </c>
      <c r="Q91" s="95">
        <v>10000</v>
      </c>
      <c r="R91" s="94">
        <v>0.84</v>
      </c>
      <c r="S91" s="36" t="s">
        <v>28</v>
      </c>
      <c r="T91" s="37"/>
      <c r="U91" s="38"/>
      <c r="V91" s="39" t="str">
        <f>A91</f>
        <v>光聖二</v>
      </c>
      <c r="W91" s="40">
        <v>3.0000000000000001E-3</v>
      </c>
    </row>
    <row r="92" spans="1:23" s="5" customFormat="1" ht="17.25" customHeight="1" x14ac:dyDescent="0.4">
      <c r="A92" s="34" t="s">
        <v>173</v>
      </c>
      <c r="B92" s="82">
        <v>64423</v>
      </c>
      <c r="C92" s="35" t="s">
        <v>64</v>
      </c>
      <c r="D92" s="83" t="s">
        <v>77</v>
      </c>
      <c r="E92" s="84">
        <v>5.5200000000000006E-2</v>
      </c>
      <c r="F92" s="85">
        <v>0.03</v>
      </c>
      <c r="G92" s="86">
        <v>46720</v>
      </c>
      <c r="H92" s="86">
        <v>46732</v>
      </c>
      <c r="I92" s="87">
        <v>1.7397260273972603</v>
      </c>
      <c r="J92" s="88">
        <v>100</v>
      </c>
      <c r="K92" s="89">
        <v>1065.9000000000001</v>
      </c>
      <c r="L92" s="90">
        <v>1.5902054601745004</v>
      </c>
      <c r="M92" s="91">
        <v>169</v>
      </c>
      <c r="N92" s="92">
        <v>6.2755752212389368E-2</v>
      </c>
      <c r="O92" s="93">
        <v>74520</v>
      </c>
      <c r="P92" s="94">
        <v>1</v>
      </c>
      <c r="Q92" s="95">
        <v>15000</v>
      </c>
      <c r="R92" s="94">
        <v>0.84</v>
      </c>
      <c r="S92" s="36" t="s">
        <v>28</v>
      </c>
      <c r="T92" s="37"/>
      <c r="U92" s="38"/>
      <c r="V92" s="39" t="str">
        <f>A92</f>
        <v>光聖三</v>
      </c>
      <c r="W92" s="40">
        <v>3.0000000000000001E-3</v>
      </c>
    </row>
    <row r="93" spans="1:23" s="5" customFormat="1" ht="17.25" customHeight="1" x14ac:dyDescent="0.4">
      <c r="A93" s="34" t="s">
        <v>174</v>
      </c>
      <c r="B93" s="82">
        <v>64693</v>
      </c>
      <c r="C93" s="35" t="s">
        <v>64</v>
      </c>
      <c r="D93" s="83" t="s">
        <v>65</v>
      </c>
      <c r="E93" s="84">
        <v>6.9400000000000003E-2</v>
      </c>
      <c r="F93" s="85">
        <v>2.8000000000000001E-2</v>
      </c>
      <c r="G93" s="86">
        <v>46948</v>
      </c>
      <c r="H93" s="86">
        <v>46962</v>
      </c>
      <c r="I93" s="87">
        <v>2.3698630136986303</v>
      </c>
      <c r="J93" s="88">
        <v>100</v>
      </c>
      <c r="K93" s="89">
        <v>132.53</v>
      </c>
      <c r="L93" s="90">
        <v>0.62476420433109481</v>
      </c>
      <c r="M93" s="91">
        <v>100.4</v>
      </c>
      <c r="N93" s="92">
        <v>0.60700628019323688</v>
      </c>
      <c r="O93" s="93">
        <v>7340.0000000000064</v>
      </c>
      <c r="P93" s="94">
        <v>1</v>
      </c>
      <c r="Q93" s="95">
        <v>10000</v>
      </c>
      <c r="R93" s="94">
        <v>0.376</v>
      </c>
      <c r="S93" s="36" t="s">
        <v>28</v>
      </c>
      <c r="T93" s="37"/>
      <c r="U93" s="38"/>
      <c r="V93" s="39" t="str">
        <f>A93</f>
        <v>大樹三</v>
      </c>
      <c r="W93" s="40">
        <v>3.0000000000000001E-3</v>
      </c>
    </row>
    <row r="94" spans="1:23" s="5" customFormat="1" ht="17.25" customHeight="1" x14ac:dyDescent="0.4">
      <c r="A94" s="34" t="s">
        <v>175</v>
      </c>
      <c r="B94" s="82">
        <v>65101</v>
      </c>
      <c r="C94" s="35" t="s">
        <v>64</v>
      </c>
      <c r="D94" s="83" t="s">
        <v>65</v>
      </c>
      <c r="E94" s="84">
        <v>7.6100000000000001E-2</v>
      </c>
      <c r="F94" s="85">
        <v>2.5999999999999999E-2</v>
      </c>
      <c r="G94" s="86">
        <v>47109</v>
      </c>
      <c r="H94" s="86">
        <v>47123</v>
      </c>
      <c r="I94" s="87">
        <v>2.8109589041095893</v>
      </c>
      <c r="J94" s="88">
        <v>100</v>
      </c>
      <c r="K94" s="89">
        <v>2016.8</v>
      </c>
      <c r="L94" s="90">
        <v>1.9610273700912335</v>
      </c>
      <c r="M94" s="91">
        <v>193</v>
      </c>
      <c r="N94" s="92">
        <v>-1.582199747155497E-2</v>
      </c>
      <c r="O94" s="93">
        <v>100610</v>
      </c>
      <c r="P94" s="94">
        <v>1</v>
      </c>
      <c r="Q94" s="95">
        <v>20000</v>
      </c>
      <c r="R94" s="94">
        <v>0.73699999999999999</v>
      </c>
      <c r="S94" s="36" t="s">
        <v>28</v>
      </c>
      <c r="T94" s="37"/>
      <c r="U94" s="41"/>
      <c r="V94" s="39" t="str">
        <f>A94</f>
        <v>精測一</v>
      </c>
      <c r="W94" s="40">
        <v>3.0000000000000001E-3</v>
      </c>
    </row>
    <row r="95" spans="1:23" s="5" customFormat="1" ht="17.25" customHeight="1" x14ac:dyDescent="0.4">
      <c r="A95" s="34" t="s">
        <v>176</v>
      </c>
      <c r="B95" s="82">
        <v>65521</v>
      </c>
      <c r="C95" s="35" t="s">
        <v>115</v>
      </c>
      <c r="D95" s="83" t="s">
        <v>60</v>
      </c>
      <c r="E95" s="84">
        <v>1.7100000000000001E-2</v>
      </c>
      <c r="F95" s="85">
        <v>2.3E-2</v>
      </c>
      <c r="G95" s="86">
        <v>46307</v>
      </c>
      <c r="H95" s="86">
        <v>46320</v>
      </c>
      <c r="I95" s="87">
        <v>0.61095890410958908</v>
      </c>
      <c r="J95" s="88">
        <v>100</v>
      </c>
      <c r="K95" s="89">
        <v>58.8</v>
      </c>
      <c r="L95" s="90">
        <v>0.45068027210884354</v>
      </c>
      <c r="M95" s="91">
        <v>100.05</v>
      </c>
      <c r="N95" s="92">
        <v>1.219977358490566</v>
      </c>
      <c r="O95" s="93">
        <v>1759.9999999999973</v>
      </c>
      <c r="P95" s="94">
        <v>1</v>
      </c>
      <c r="Q95" s="95">
        <v>5000</v>
      </c>
      <c r="R95" s="94">
        <v>0.629</v>
      </c>
      <c r="S95" s="36" t="s">
        <v>27</v>
      </c>
      <c r="T95" s="37"/>
      <c r="U95" s="41"/>
      <c r="V95" s="39" t="str">
        <f>A95</f>
        <v>易華電一</v>
      </c>
      <c r="W95" s="40">
        <v>3.0000000000000001E-3</v>
      </c>
    </row>
    <row r="96" spans="1:23" s="5" customFormat="1" ht="17.25" customHeight="1" x14ac:dyDescent="0.4">
      <c r="A96" s="34" t="s">
        <v>177</v>
      </c>
      <c r="B96" s="82">
        <v>65841</v>
      </c>
      <c r="C96" s="35" t="s">
        <v>144</v>
      </c>
      <c r="D96" s="83" t="s">
        <v>62</v>
      </c>
      <c r="E96" s="84">
        <v>7.3000000000000001E-3</v>
      </c>
      <c r="F96" s="85">
        <v>2.3E-2</v>
      </c>
      <c r="G96" s="86">
        <v>46310</v>
      </c>
      <c r="H96" s="86">
        <v>46324</v>
      </c>
      <c r="I96" s="87">
        <v>0.62191780821917808</v>
      </c>
      <c r="J96" s="88">
        <v>101.0025</v>
      </c>
      <c r="K96" s="89">
        <v>177.5</v>
      </c>
      <c r="L96" s="90">
        <v>2.2281690140845072</v>
      </c>
      <c r="M96" s="91">
        <v>220</v>
      </c>
      <c r="N96" s="92">
        <v>-1.2642225031605624E-2</v>
      </c>
      <c r="O96" s="93">
        <v>120730</v>
      </c>
      <c r="P96" s="94">
        <v>0.15157142857142858</v>
      </c>
      <c r="Q96" s="95">
        <v>7000</v>
      </c>
      <c r="R96" s="94">
        <v>0.61399999999999999</v>
      </c>
      <c r="S96" s="36" t="s">
        <v>27</v>
      </c>
      <c r="T96" s="37"/>
      <c r="U96" s="41"/>
      <c r="V96" s="39" t="str">
        <f>A96</f>
        <v>南俊國際一</v>
      </c>
      <c r="W96" s="40">
        <v>3.0000000000000001E-3</v>
      </c>
    </row>
    <row r="97" spans="1:23" s="5" customFormat="1" ht="17.25" customHeight="1" x14ac:dyDescent="0.4">
      <c r="A97" s="34" t="s">
        <v>178</v>
      </c>
      <c r="B97" s="82">
        <v>65851</v>
      </c>
      <c r="C97" s="35" t="s">
        <v>129</v>
      </c>
      <c r="D97" s="83" t="s">
        <v>77</v>
      </c>
      <c r="E97" s="84">
        <v>1.72E-2</v>
      </c>
      <c r="F97" s="85">
        <v>2.3E-2</v>
      </c>
      <c r="G97" s="86">
        <v>46307</v>
      </c>
      <c r="H97" s="86">
        <v>46321</v>
      </c>
      <c r="I97" s="87">
        <v>0.61369863013698633</v>
      </c>
      <c r="J97" s="88">
        <v>100</v>
      </c>
      <c r="K97" s="89">
        <v>110.9</v>
      </c>
      <c r="L97" s="90">
        <v>0.77366997294860229</v>
      </c>
      <c r="M97" s="91">
        <v>101.55</v>
      </c>
      <c r="N97" s="92">
        <v>0.31257517482517494</v>
      </c>
      <c r="O97" s="93">
        <v>3269.9999999999973</v>
      </c>
      <c r="P97" s="94">
        <v>0.54620000000000002</v>
      </c>
      <c r="Q97" s="95">
        <v>5000</v>
      </c>
      <c r="R97" s="94">
        <v>0.24199999999999999</v>
      </c>
      <c r="S97" s="36" t="s">
        <v>27</v>
      </c>
      <c r="T97" s="37"/>
      <c r="U97" s="41"/>
      <c r="V97" s="39" t="str">
        <f>A97</f>
        <v>鼎基一</v>
      </c>
      <c r="W97" s="40">
        <v>3.0000000000000001E-3</v>
      </c>
    </row>
    <row r="98" spans="1:23" s="5" customFormat="1" ht="17.25" customHeight="1" x14ac:dyDescent="0.4">
      <c r="A98" s="34" t="s">
        <v>179</v>
      </c>
      <c r="B98" s="82">
        <v>65096</v>
      </c>
      <c r="C98" s="35" t="s">
        <v>64</v>
      </c>
      <c r="D98" s="83" t="s">
        <v>77</v>
      </c>
      <c r="E98" s="84">
        <v>1.2E-2</v>
      </c>
      <c r="F98" s="85">
        <v>0.03</v>
      </c>
      <c r="G98" s="86">
        <v>46192</v>
      </c>
      <c r="H98" s="86">
        <v>46206</v>
      </c>
      <c r="I98" s="87">
        <v>0.29863013698630136</v>
      </c>
      <c r="J98" s="88">
        <v>100</v>
      </c>
      <c r="K98" s="89">
        <v>37.6</v>
      </c>
      <c r="L98" s="90">
        <v>1.0890957446808511</v>
      </c>
      <c r="M98" s="91">
        <v>122.45</v>
      </c>
      <c r="N98" s="92">
        <v>0.1243272283272283</v>
      </c>
      <c r="O98" s="93">
        <v>23650.000000000004</v>
      </c>
      <c r="P98" s="94">
        <v>1</v>
      </c>
      <c r="Q98" s="95">
        <v>5000</v>
      </c>
      <c r="R98" s="94">
        <v>0.19600000000000001</v>
      </c>
      <c r="S98" s="36" t="s">
        <v>27</v>
      </c>
      <c r="T98" s="37"/>
      <c r="U98" s="41"/>
      <c r="V98" s="39" t="str">
        <f>A98</f>
        <v>聚和六</v>
      </c>
      <c r="W98" s="40">
        <v>3.0000000000000001E-3</v>
      </c>
    </row>
    <row r="99" spans="1:23" s="5" customFormat="1" ht="17.25" customHeight="1" x14ac:dyDescent="0.4">
      <c r="A99" s="34" t="s">
        <v>180</v>
      </c>
      <c r="B99" s="82">
        <v>65152</v>
      </c>
      <c r="C99" s="35" t="s">
        <v>64</v>
      </c>
      <c r="D99" s="83" t="s">
        <v>65</v>
      </c>
      <c r="E99" s="84">
        <v>7.8300000000000008E-2</v>
      </c>
      <c r="F99" s="85">
        <v>2.5999999999999999E-2</v>
      </c>
      <c r="G99" s="86">
        <v>47140</v>
      </c>
      <c r="H99" s="86">
        <v>47154</v>
      </c>
      <c r="I99" s="87">
        <v>2.8958904109589043</v>
      </c>
      <c r="J99" s="88">
        <v>100</v>
      </c>
      <c r="K99" s="89">
        <v>3540.4</v>
      </c>
      <c r="L99" s="90">
        <v>1.7794599480284714</v>
      </c>
      <c r="M99" s="91">
        <v>174</v>
      </c>
      <c r="N99" s="92">
        <v>-2.2175238095238112E-2</v>
      </c>
      <c r="O99" s="93">
        <v>81830</v>
      </c>
      <c r="P99" s="94">
        <v>1</v>
      </c>
      <c r="Q99" s="95">
        <v>30000</v>
      </c>
      <c r="R99" s="94">
        <v>0.59099999999999997</v>
      </c>
      <c r="S99" s="36" t="s">
        <v>27</v>
      </c>
      <c r="T99" s="37"/>
      <c r="U99" s="38"/>
      <c r="V99" s="39" t="str">
        <f>A99</f>
        <v>穎崴二</v>
      </c>
      <c r="W99" s="40">
        <v>3.0000000000000001E-3</v>
      </c>
    </row>
    <row r="100" spans="1:23" s="5" customFormat="1" ht="17.25" customHeight="1" x14ac:dyDescent="0.4">
      <c r="A100" s="34" t="s">
        <v>181</v>
      </c>
      <c r="B100" s="82">
        <v>66241</v>
      </c>
      <c r="C100" s="35" t="s">
        <v>106</v>
      </c>
      <c r="D100" s="83" t="s">
        <v>60</v>
      </c>
      <c r="E100" s="84">
        <v>2.5499999999999998E-2</v>
      </c>
      <c r="F100" s="85">
        <v>2.3E-2</v>
      </c>
      <c r="G100" s="86">
        <v>46559</v>
      </c>
      <c r="H100" s="86">
        <v>46573</v>
      </c>
      <c r="I100" s="87">
        <v>1.3041095890410959</v>
      </c>
      <c r="J100" s="88">
        <v>100.75</v>
      </c>
      <c r="K100" s="89">
        <v>40.6</v>
      </c>
      <c r="L100" s="90">
        <v>1.4655172413793103</v>
      </c>
      <c r="M100" s="91">
        <v>169</v>
      </c>
      <c r="N100" s="92">
        <v>0.15317647058823541</v>
      </c>
      <c r="O100" s="93">
        <v>71549.999999999985</v>
      </c>
      <c r="P100" s="94">
        <v>0.31</v>
      </c>
      <c r="Q100" s="95">
        <v>1000</v>
      </c>
      <c r="R100" s="94">
        <v>0.49199999999999999</v>
      </c>
      <c r="S100" s="36" t="s">
        <v>27</v>
      </c>
      <c r="T100" s="37"/>
      <c r="U100" s="41"/>
      <c r="V100" s="39" t="str">
        <f>A100</f>
        <v>萬年清一</v>
      </c>
      <c r="W100" s="40">
        <v>3.0000000000000001E-3</v>
      </c>
    </row>
    <row r="101" spans="1:23" s="5" customFormat="1" ht="17.25" customHeight="1" x14ac:dyDescent="0.4">
      <c r="A101" s="34" t="s">
        <v>182</v>
      </c>
      <c r="B101" s="82">
        <v>66702</v>
      </c>
      <c r="C101" s="35" t="s">
        <v>64</v>
      </c>
      <c r="D101" s="83" t="s">
        <v>75</v>
      </c>
      <c r="E101" s="84">
        <v>7.2600000000000012E-2</v>
      </c>
      <c r="F101" s="85">
        <v>2.5000000000000001E-2</v>
      </c>
      <c r="G101" s="86">
        <v>47099</v>
      </c>
      <c r="H101" s="86">
        <v>47113</v>
      </c>
      <c r="I101" s="87">
        <v>2.7835616438356166</v>
      </c>
      <c r="J101" s="88">
        <v>100</v>
      </c>
      <c r="K101" s="89">
        <v>270</v>
      </c>
      <c r="L101" s="90">
        <v>1.0129629629629631</v>
      </c>
      <c r="M101" s="91">
        <v>115.5</v>
      </c>
      <c r="N101" s="92">
        <v>0.14021937842778784</v>
      </c>
      <c r="O101" s="93">
        <v>22760.000000000004</v>
      </c>
      <c r="P101" s="94">
        <v>1</v>
      </c>
      <c r="Q101" s="95">
        <v>15000</v>
      </c>
      <c r="R101" s="94">
        <v>0.23899999999999999</v>
      </c>
      <c r="S101" s="36" t="s">
        <v>28</v>
      </c>
      <c r="T101" s="37"/>
      <c r="U101" s="38" t="s">
        <v>3</v>
      </c>
      <c r="V101" s="39" t="str">
        <f>A101</f>
        <v>復盛應用二</v>
      </c>
      <c r="W101" s="40">
        <v>3.0000000000000001E-3</v>
      </c>
    </row>
    <row r="102" spans="1:23" s="5" customFormat="1" ht="17.25" customHeight="1" x14ac:dyDescent="0.4">
      <c r="A102" s="34" t="s">
        <v>183</v>
      </c>
      <c r="B102" s="82">
        <v>67711</v>
      </c>
      <c r="C102" s="35" t="s">
        <v>155</v>
      </c>
      <c r="D102" s="83" t="s">
        <v>62</v>
      </c>
      <c r="E102" s="84">
        <v>2.0499999999999997E-2</v>
      </c>
      <c r="F102" s="85">
        <v>2.4E-2</v>
      </c>
      <c r="G102" s="86">
        <v>46503</v>
      </c>
      <c r="H102" s="86">
        <v>46515</v>
      </c>
      <c r="I102" s="87">
        <v>1.1452054794520548</v>
      </c>
      <c r="J102" s="88">
        <v>101.0025</v>
      </c>
      <c r="K102" s="89">
        <v>51.66</v>
      </c>
      <c r="L102" s="90">
        <v>0.856562137049942</v>
      </c>
      <c r="M102" s="91">
        <v>104.5</v>
      </c>
      <c r="N102" s="92">
        <v>0.21999322033898294</v>
      </c>
      <c r="O102" s="93">
        <v>6550</v>
      </c>
      <c r="P102" s="94">
        <v>1</v>
      </c>
      <c r="Q102" s="95">
        <v>3500</v>
      </c>
      <c r="R102" s="94">
        <v>0.25900000000000001</v>
      </c>
      <c r="S102" s="36" t="s">
        <v>27</v>
      </c>
      <c r="T102" s="37"/>
      <c r="U102" s="41"/>
      <c r="V102" s="39" t="str">
        <f>A102</f>
        <v>平和環保一創</v>
      </c>
      <c r="W102" s="40">
        <v>3.0000000000000001E-3</v>
      </c>
    </row>
    <row r="103" spans="1:23" s="5" customFormat="1" ht="17.25" customHeight="1" x14ac:dyDescent="0.4">
      <c r="A103" s="34" t="s">
        <v>184</v>
      </c>
      <c r="B103" s="82">
        <v>68541</v>
      </c>
      <c r="C103" s="35" t="s">
        <v>120</v>
      </c>
      <c r="D103" s="83" t="s">
        <v>60</v>
      </c>
      <c r="E103" s="84">
        <v>1.4999999999999999E-2</v>
      </c>
      <c r="F103" s="85">
        <v>2.3E-2</v>
      </c>
      <c r="G103" s="86">
        <v>46433</v>
      </c>
      <c r="H103" s="86">
        <v>46445</v>
      </c>
      <c r="I103" s="87">
        <v>0.95342465753424654</v>
      </c>
      <c r="J103" s="88">
        <v>101.0025</v>
      </c>
      <c r="K103" s="89">
        <v>248.3</v>
      </c>
      <c r="L103" s="90">
        <v>0.58598469593233993</v>
      </c>
      <c r="M103" s="91">
        <v>107</v>
      </c>
      <c r="N103" s="92">
        <v>0.82598625429553263</v>
      </c>
      <c r="O103" s="93">
        <v>8500</v>
      </c>
      <c r="P103" s="94">
        <v>1</v>
      </c>
      <c r="Q103" s="95">
        <v>8000</v>
      </c>
      <c r="R103" s="94">
        <v>0.68400000000000005</v>
      </c>
      <c r="S103" s="36" t="s">
        <v>27</v>
      </c>
      <c r="T103" s="37"/>
      <c r="U103" s="38"/>
      <c r="V103" s="39" t="str">
        <f>A103</f>
        <v>錼創科技一KY創</v>
      </c>
      <c r="W103" s="40">
        <v>3.0000000000000001E-3</v>
      </c>
    </row>
    <row r="104" spans="1:23" s="5" customFormat="1" ht="17.25" customHeight="1" x14ac:dyDescent="0.4">
      <c r="A104" s="34" t="s">
        <v>185</v>
      </c>
      <c r="B104" s="82">
        <v>80212</v>
      </c>
      <c r="C104" s="35" t="s">
        <v>64</v>
      </c>
      <c r="D104" s="83" t="s">
        <v>65</v>
      </c>
      <c r="E104" s="84">
        <v>7.4400000000000008E-2</v>
      </c>
      <c r="F104" s="85">
        <v>2.5000000000000001E-2</v>
      </c>
      <c r="G104" s="86">
        <v>47126</v>
      </c>
      <c r="H104" s="86">
        <v>47138</v>
      </c>
      <c r="I104" s="87">
        <v>2.8520547945205479</v>
      </c>
      <c r="J104" s="88">
        <v>100</v>
      </c>
      <c r="K104" s="89">
        <v>201.8</v>
      </c>
      <c r="L104" s="90">
        <v>1.1868186323092169</v>
      </c>
      <c r="M104" s="91">
        <v>141</v>
      </c>
      <c r="N104" s="92">
        <v>0.18805010438413375</v>
      </c>
      <c r="O104" s="93">
        <v>48440</v>
      </c>
      <c r="P104" s="94">
        <v>1</v>
      </c>
      <c r="Q104" s="95">
        <v>7000</v>
      </c>
      <c r="R104" s="94">
        <v>0.67200000000000004</v>
      </c>
      <c r="S104" s="36" t="s">
        <v>27</v>
      </c>
      <c r="T104" s="37"/>
      <c r="U104" s="38"/>
      <c r="V104" s="39" t="str">
        <f>A104</f>
        <v>尖點二</v>
      </c>
      <c r="W104" s="40">
        <v>3.0000000000000001E-3</v>
      </c>
    </row>
    <row r="105" spans="1:23" s="5" customFormat="1" ht="17.25" customHeight="1" x14ac:dyDescent="0.4">
      <c r="A105" s="34" t="s">
        <v>186</v>
      </c>
      <c r="B105" s="82">
        <v>81551</v>
      </c>
      <c r="C105" s="35" t="s">
        <v>64</v>
      </c>
      <c r="D105" s="83" t="s">
        <v>65</v>
      </c>
      <c r="E105" s="84">
        <v>4.8600000000000004E-2</v>
      </c>
      <c r="F105" s="85">
        <v>2.5000000000000001E-2</v>
      </c>
      <c r="G105" s="86">
        <v>46748</v>
      </c>
      <c r="H105" s="86">
        <v>46762</v>
      </c>
      <c r="I105" s="87">
        <v>1.821917808219178</v>
      </c>
      <c r="J105" s="88">
        <v>100</v>
      </c>
      <c r="K105" s="89">
        <v>121.6</v>
      </c>
      <c r="L105" s="90">
        <v>1.7393092105263159</v>
      </c>
      <c r="M105" s="91">
        <v>172</v>
      </c>
      <c r="N105" s="92">
        <v>-1.1101654846335757E-2</v>
      </c>
      <c r="O105" s="93">
        <v>76860</v>
      </c>
      <c r="P105" s="94">
        <v>0.48459999999999998</v>
      </c>
      <c r="Q105" s="95">
        <v>10000</v>
      </c>
      <c r="R105" s="94">
        <v>0.622</v>
      </c>
      <c r="S105" s="36" t="s">
        <v>28</v>
      </c>
      <c r="T105" s="37"/>
      <c r="U105" s="41"/>
      <c r="V105" s="39" t="str">
        <f>A105</f>
        <v>博智一</v>
      </c>
      <c r="W105" s="40">
        <v>3.0000000000000001E-3</v>
      </c>
    </row>
    <row r="106" spans="1:23" s="5" customFormat="1" ht="17.25" customHeight="1" x14ac:dyDescent="0.4">
      <c r="A106" s="34" t="s">
        <v>187</v>
      </c>
      <c r="B106" s="82">
        <v>81714</v>
      </c>
      <c r="C106" s="35" t="s">
        <v>188</v>
      </c>
      <c r="D106" s="83" t="s">
        <v>57</v>
      </c>
      <c r="E106" s="84">
        <v>4.2900000000000008E-2</v>
      </c>
      <c r="F106" s="85">
        <v>2.4E-2</v>
      </c>
      <c r="G106" s="86">
        <v>46689</v>
      </c>
      <c r="H106" s="86">
        <v>46703</v>
      </c>
      <c r="I106" s="87">
        <v>1.6602739726027398</v>
      </c>
      <c r="J106" s="88">
        <v>100</v>
      </c>
      <c r="K106" s="89">
        <v>30.5</v>
      </c>
      <c r="L106" s="90">
        <v>0.84590163934426232</v>
      </c>
      <c r="M106" s="91">
        <v>113</v>
      </c>
      <c r="N106" s="92">
        <v>0.33585271317829457</v>
      </c>
      <c r="O106" s="93">
        <v>17290</v>
      </c>
      <c r="P106" s="94">
        <v>1</v>
      </c>
      <c r="Q106" s="95">
        <v>2500</v>
      </c>
      <c r="R106" s="94">
        <v>0.57999999999999996</v>
      </c>
      <c r="S106" s="36" t="s">
        <v>27</v>
      </c>
      <c r="T106" s="37"/>
      <c r="U106" s="41"/>
      <c r="V106" s="39" t="str">
        <f>A106</f>
        <v>天宇四</v>
      </c>
      <c r="W106" s="40">
        <v>3.0000000000000001E-3</v>
      </c>
    </row>
    <row r="107" spans="1:23" s="5" customFormat="1" ht="17.25" customHeight="1" x14ac:dyDescent="0.4">
      <c r="A107" s="34" t="s">
        <v>189</v>
      </c>
      <c r="B107" s="82">
        <v>82102</v>
      </c>
      <c r="C107" s="35" t="s">
        <v>64</v>
      </c>
      <c r="D107" s="83" t="s">
        <v>65</v>
      </c>
      <c r="E107" s="84">
        <v>7.4800000000000005E-2</v>
      </c>
      <c r="F107" s="85">
        <v>2.5000000000000001E-2</v>
      </c>
      <c r="G107" s="86">
        <v>47130</v>
      </c>
      <c r="H107" s="86">
        <v>47144</v>
      </c>
      <c r="I107" s="87">
        <v>2.8684931506849316</v>
      </c>
      <c r="J107" s="88">
        <v>100</v>
      </c>
      <c r="K107" s="89">
        <v>1007.2</v>
      </c>
      <c r="L107" s="90">
        <v>0.88264495631453532</v>
      </c>
      <c r="M107" s="91">
        <v>127.9</v>
      </c>
      <c r="N107" s="92">
        <v>0.44905376827896532</v>
      </c>
      <c r="O107" s="93">
        <v>35380.000000000015</v>
      </c>
      <c r="P107" s="94">
        <v>1</v>
      </c>
      <c r="Q107" s="95">
        <v>8000</v>
      </c>
      <c r="R107" s="94">
        <v>0.68100000000000005</v>
      </c>
      <c r="S107" s="36" t="s">
        <v>28</v>
      </c>
      <c r="T107" s="37"/>
      <c r="U107" s="41"/>
      <c r="V107" s="39" t="str">
        <f>A107</f>
        <v>勤誠二</v>
      </c>
      <c r="W107" s="40">
        <v>3.0000000000000001E-3</v>
      </c>
    </row>
    <row r="108" spans="1:23" s="5" customFormat="1" ht="17.25" customHeight="1" x14ac:dyDescent="0.4">
      <c r="A108" s="34" t="s">
        <v>190</v>
      </c>
      <c r="B108" s="82">
        <v>82103</v>
      </c>
      <c r="C108" s="35" t="s">
        <v>64</v>
      </c>
      <c r="D108" s="83" t="s">
        <v>65</v>
      </c>
      <c r="E108" s="84">
        <v>7.5300000000000006E-2</v>
      </c>
      <c r="F108" s="85">
        <v>2.5000000000000001E-2</v>
      </c>
      <c r="G108" s="86">
        <v>47140</v>
      </c>
      <c r="H108" s="86">
        <v>47152</v>
      </c>
      <c r="I108" s="87">
        <v>2.8904109589041096</v>
      </c>
      <c r="J108" s="88">
        <v>100</v>
      </c>
      <c r="K108" s="89">
        <v>985.3</v>
      </c>
      <c r="L108" s="90">
        <v>0.90226327007002949</v>
      </c>
      <c r="M108" s="91">
        <v>129.30000000000001</v>
      </c>
      <c r="N108" s="92">
        <v>0.43306287964004503</v>
      </c>
      <c r="O108" s="93">
        <v>36830.000000000007</v>
      </c>
      <c r="P108" s="94">
        <v>1</v>
      </c>
      <c r="Q108" s="95">
        <v>7000</v>
      </c>
      <c r="R108" s="94">
        <v>0.68100000000000005</v>
      </c>
      <c r="S108" s="36" t="s">
        <v>27</v>
      </c>
      <c r="T108" s="37"/>
      <c r="U108" s="41"/>
      <c r="V108" s="39" t="str">
        <f>A108</f>
        <v>勤誠三</v>
      </c>
      <c r="W108" s="40">
        <v>3.0000000000000001E-3</v>
      </c>
    </row>
    <row r="109" spans="1:23" s="5" customFormat="1" ht="17" x14ac:dyDescent="0.4">
      <c r="A109" s="34" t="s">
        <v>191</v>
      </c>
      <c r="B109" s="82">
        <v>82551</v>
      </c>
      <c r="C109" s="35" t="s">
        <v>64</v>
      </c>
      <c r="D109" s="83" t="s">
        <v>65</v>
      </c>
      <c r="E109" s="84">
        <v>1.38E-2</v>
      </c>
      <c r="F109" s="85">
        <v>2.7E-2</v>
      </c>
      <c r="G109" s="86">
        <v>46230</v>
      </c>
      <c r="H109" s="86">
        <v>46243</v>
      </c>
      <c r="I109" s="87">
        <v>0.4</v>
      </c>
      <c r="J109" s="88">
        <v>100</v>
      </c>
      <c r="K109" s="89">
        <v>196.2</v>
      </c>
      <c r="L109" s="90">
        <v>0.64475025484199799</v>
      </c>
      <c r="M109" s="91">
        <v>103.4</v>
      </c>
      <c r="N109" s="92">
        <v>0.6037217391304347</v>
      </c>
      <c r="O109" s="93">
        <v>4780.0000000000055</v>
      </c>
      <c r="P109" s="94">
        <v>0.99987499999999996</v>
      </c>
      <c r="Q109" s="95">
        <v>8000</v>
      </c>
      <c r="R109" s="94">
        <v>0.26900000000000002</v>
      </c>
      <c r="S109" s="36" t="s">
        <v>28</v>
      </c>
      <c r="T109" s="37"/>
      <c r="U109" s="41"/>
      <c r="V109" s="39" t="str">
        <f>A109</f>
        <v>朋程一</v>
      </c>
      <c r="W109" s="40">
        <v>3.0000000000000001E-3</v>
      </c>
    </row>
    <row r="110" spans="1:23" s="5" customFormat="1" ht="17.25" customHeight="1" x14ac:dyDescent="0.4">
      <c r="A110" s="34" t="s">
        <v>192</v>
      </c>
      <c r="B110" s="82">
        <v>82993</v>
      </c>
      <c r="C110" s="35" t="s">
        <v>64</v>
      </c>
      <c r="D110" s="83" t="s">
        <v>75</v>
      </c>
      <c r="E110" s="84">
        <v>7.5500000000000012E-2</v>
      </c>
      <c r="F110" s="85">
        <v>2.5000000000000001E-2</v>
      </c>
      <c r="G110" s="86">
        <v>47141</v>
      </c>
      <c r="H110" s="86">
        <v>47155</v>
      </c>
      <c r="I110" s="87">
        <v>2.8986301369863012</v>
      </c>
      <c r="J110" s="88">
        <v>100</v>
      </c>
      <c r="K110" s="89">
        <v>2488</v>
      </c>
      <c r="L110" s="90">
        <v>0.727491961414791</v>
      </c>
      <c r="M110" s="91">
        <v>119.2</v>
      </c>
      <c r="N110" s="92">
        <v>0.6385060773480663</v>
      </c>
      <c r="O110" s="93">
        <v>26750.000000000007</v>
      </c>
      <c r="P110" s="94">
        <v>1</v>
      </c>
      <c r="Q110" s="95">
        <v>60000</v>
      </c>
      <c r="R110" s="94">
        <v>0.80400000000000005</v>
      </c>
      <c r="S110" s="36" t="s">
        <v>28</v>
      </c>
      <c r="T110" s="37"/>
      <c r="U110" s="38"/>
      <c r="V110" s="39" t="str">
        <f>A110</f>
        <v>群聯三</v>
      </c>
      <c r="W110" s="40">
        <v>3.0000000000000001E-3</v>
      </c>
    </row>
    <row r="111" spans="1:23" s="5" customFormat="1" ht="17.149999999999999" customHeight="1" x14ac:dyDescent="0.4">
      <c r="A111" s="34" t="s">
        <v>193</v>
      </c>
      <c r="B111" s="82">
        <v>84041</v>
      </c>
      <c r="C111" s="35" t="s">
        <v>194</v>
      </c>
      <c r="D111" s="83" t="s">
        <v>60</v>
      </c>
      <c r="E111" s="84">
        <v>3.8700000000000005E-2</v>
      </c>
      <c r="F111" s="85">
        <v>2.3E-2</v>
      </c>
      <c r="G111" s="86">
        <v>46650</v>
      </c>
      <c r="H111" s="86">
        <v>46663</v>
      </c>
      <c r="I111" s="87">
        <v>1.5506849315068494</v>
      </c>
      <c r="J111" s="88">
        <v>100</v>
      </c>
      <c r="K111" s="89">
        <v>26.8</v>
      </c>
      <c r="L111" s="90">
        <v>0.76119402985074625</v>
      </c>
      <c r="M111" s="91">
        <v>110</v>
      </c>
      <c r="N111" s="92">
        <v>0.44509803921568625</v>
      </c>
      <c r="O111" s="93">
        <v>13870.000000000002</v>
      </c>
      <c r="P111" s="94">
        <v>1</v>
      </c>
      <c r="Q111" s="95">
        <v>10000</v>
      </c>
      <c r="R111" s="94">
        <v>0.28199999999999997</v>
      </c>
      <c r="S111" s="36" t="s">
        <v>28</v>
      </c>
      <c r="T111" s="37"/>
      <c r="U111" s="38"/>
      <c r="V111" s="39" t="str">
        <f>A111</f>
        <v>百和興業一KY</v>
      </c>
      <c r="W111" s="40">
        <v>3.0000000000000001E-3</v>
      </c>
    </row>
    <row r="112" spans="1:23" s="5" customFormat="1" ht="17.25" customHeight="1" x14ac:dyDescent="0.4">
      <c r="A112" s="34" t="s">
        <v>195</v>
      </c>
      <c r="B112" s="82">
        <v>84113</v>
      </c>
      <c r="C112" s="35" t="s">
        <v>196</v>
      </c>
      <c r="D112" s="83" t="s">
        <v>62</v>
      </c>
      <c r="E112" s="84">
        <v>5.0300000000000004E-2</v>
      </c>
      <c r="F112" s="85">
        <v>2.3E-2</v>
      </c>
      <c r="G112" s="86">
        <v>46952</v>
      </c>
      <c r="H112" s="86">
        <v>46966</v>
      </c>
      <c r="I112" s="87">
        <v>2.3808219178082193</v>
      </c>
      <c r="J112" s="88">
        <v>100.75190000000001</v>
      </c>
      <c r="K112" s="89">
        <v>13.3</v>
      </c>
      <c r="L112" s="90">
        <v>0.90601503759398494</v>
      </c>
      <c r="M112" s="91">
        <v>100</v>
      </c>
      <c r="N112" s="92">
        <v>0.10373443983402489</v>
      </c>
      <c r="O112" s="93">
        <v>5030</v>
      </c>
      <c r="P112" s="94">
        <v>1</v>
      </c>
      <c r="Q112" s="95">
        <v>12000</v>
      </c>
      <c r="R112" s="94">
        <v>0.14199999999999999</v>
      </c>
      <c r="S112" s="36" t="s">
        <v>28</v>
      </c>
      <c r="T112" s="37"/>
      <c r="U112" s="38"/>
      <c r="V112" s="39" t="str">
        <f>A112</f>
        <v>福貞三KY</v>
      </c>
      <c r="W112" s="40">
        <v>3.0000000000000001E-3</v>
      </c>
    </row>
    <row r="113" spans="1:23" s="5" customFormat="1" ht="17" x14ac:dyDescent="0.4">
      <c r="A113" s="34" t="s">
        <v>197</v>
      </c>
      <c r="B113" s="82">
        <v>84422</v>
      </c>
      <c r="C113" s="35" t="s">
        <v>198</v>
      </c>
      <c r="D113" s="83" t="s">
        <v>62</v>
      </c>
      <c r="E113" s="84">
        <v>1.67E-2</v>
      </c>
      <c r="F113" s="85">
        <v>2.3E-2</v>
      </c>
      <c r="G113" s="86">
        <v>46300</v>
      </c>
      <c r="H113" s="86">
        <v>46314</v>
      </c>
      <c r="I113" s="87">
        <v>0.59452054794520548</v>
      </c>
      <c r="J113" s="88">
        <v>100</v>
      </c>
      <c r="K113" s="89">
        <v>73.900000000000006</v>
      </c>
      <c r="L113" s="90">
        <v>0.83761840324763182</v>
      </c>
      <c r="M113" s="91">
        <v>104</v>
      </c>
      <c r="N113" s="92">
        <v>0.24161550888529901</v>
      </c>
      <c r="O113" s="93">
        <v>5670</v>
      </c>
      <c r="P113" s="94">
        <v>0.90375000000000005</v>
      </c>
      <c r="Q113" s="95">
        <v>4000</v>
      </c>
      <c r="R113" s="94">
        <v>0.17100000000000001</v>
      </c>
      <c r="S113" s="36" t="s">
        <v>27</v>
      </c>
      <c r="T113" s="37"/>
      <c r="U113" s="41"/>
      <c r="V113" s="39" t="str">
        <f>A113</f>
        <v>威宏二KY</v>
      </c>
      <c r="W113" s="40">
        <v>3.0000000000000001E-3</v>
      </c>
    </row>
    <row r="114" spans="1:23" s="5" customFormat="1" ht="17.25" customHeight="1" x14ac:dyDescent="0.4">
      <c r="A114" s="34" t="s">
        <v>199</v>
      </c>
      <c r="B114" s="82">
        <v>84672</v>
      </c>
      <c r="C114" s="35" t="s">
        <v>198</v>
      </c>
      <c r="D114" s="83" t="s">
        <v>62</v>
      </c>
      <c r="E114" s="84">
        <v>3.0799999999999998E-2</v>
      </c>
      <c r="F114" s="85">
        <v>2.3E-2</v>
      </c>
      <c r="G114" s="86">
        <v>46524</v>
      </c>
      <c r="H114" s="86">
        <v>46537</v>
      </c>
      <c r="I114" s="87">
        <v>1.2054794520547945</v>
      </c>
      <c r="J114" s="88">
        <v>100</v>
      </c>
      <c r="K114" s="89">
        <v>188.9</v>
      </c>
      <c r="L114" s="90">
        <v>0.81789306511381676</v>
      </c>
      <c r="M114" s="91">
        <v>110.05</v>
      </c>
      <c r="N114" s="92">
        <v>0.3455304207119741</v>
      </c>
      <c r="O114" s="93">
        <v>13129.999999999996</v>
      </c>
      <c r="P114" s="94">
        <v>0.55238095238095242</v>
      </c>
      <c r="Q114" s="95">
        <v>2100</v>
      </c>
      <c r="R114" s="94">
        <v>0.40699999999999997</v>
      </c>
      <c r="S114" s="36" t="s">
        <v>27</v>
      </c>
      <c r="T114" s="37"/>
      <c r="U114" s="41"/>
      <c r="V114" s="39" t="str">
        <f>A114</f>
        <v>波力二KY</v>
      </c>
      <c r="W114" s="40">
        <v>3.0000000000000001E-3</v>
      </c>
    </row>
    <row r="115" spans="1:23" s="5" customFormat="1" ht="17.25" customHeight="1" x14ac:dyDescent="0.4">
      <c r="A115" s="34" t="s">
        <v>200</v>
      </c>
      <c r="B115" s="82">
        <v>84732</v>
      </c>
      <c r="C115" s="35" t="s">
        <v>64</v>
      </c>
      <c r="D115" s="83" t="s">
        <v>62</v>
      </c>
      <c r="E115" s="84">
        <v>7.9000000000000008E-3</v>
      </c>
      <c r="F115" s="85">
        <v>3.2500000000000001E-2</v>
      </c>
      <c r="G115" s="86">
        <v>46279</v>
      </c>
      <c r="H115" s="86">
        <v>46293</v>
      </c>
      <c r="I115" s="87">
        <v>0.53698630136986303</v>
      </c>
      <c r="J115" s="88">
        <v>101.26</v>
      </c>
      <c r="K115" s="89">
        <v>34.1</v>
      </c>
      <c r="L115" s="90">
        <v>1.1231671554252198</v>
      </c>
      <c r="M115" s="91">
        <v>108</v>
      </c>
      <c r="N115" s="92">
        <v>-3.8433420365535216E-2</v>
      </c>
      <c r="O115" s="93">
        <v>8790</v>
      </c>
      <c r="P115" s="94">
        <v>0.2457</v>
      </c>
      <c r="Q115" s="95">
        <v>10000</v>
      </c>
      <c r="R115" s="94">
        <v>0.37</v>
      </c>
      <c r="S115" s="36" t="s">
        <v>28</v>
      </c>
      <c r="T115" s="37" t="s">
        <v>3</v>
      </c>
      <c r="U115" s="41"/>
      <c r="V115" s="39" t="str">
        <f>A115</f>
        <v>山林水二</v>
      </c>
      <c r="W115" s="40">
        <v>3.0000000000000001E-3</v>
      </c>
    </row>
    <row r="116" spans="1:23" s="5" customFormat="1" ht="17.25" customHeight="1" x14ac:dyDescent="0.4">
      <c r="A116" s="34" t="s">
        <v>201</v>
      </c>
      <c r="B116" s="82">
        <v>84881</v>
      </c>
      <c r="C116" s="35" t="s">
        <v>202</v>
      </c>
      <c r="D116" s="83" t="s">
        <v>60</v>
      </c>
      <c r="E116" s="84">
        <v>2.06E-2</v>
      </c>
      <c r="F116" s="85">
        <v>2.3E-2</v>
      </c>
      <c r="G116" s="86">
        <v>46363</v>
      </c>
      <c r="H116" s="86">
        <v>46375</v>
      </c>
      <c r="I116" s="87">
        <v>0.76164383561643834</v>
      </c>
      <c r="J116" s="88">
        <v>100</v>
      </c>
      <c r="K116" s="89">
        <v>18.399999999999999</v>
      </c>
      <c r="L116" s="90">
        <v>0.52663043478260874</v>
      </c>
      <c r="M116" s="91">
        <v>98.35</v>
      </c>
      <c r="N116" s="92">
        <v>0.8675335397316819</v>
      </c>
      <c r="O116" s="93">
        <v>409.99999999999437</v>
      </c>
      <c r="P116" s="94">
        <v>1</v>
      </c>
      <c r="Q116" s="95">
        <v>3000</v>
      </c>
      <c r="R116" s="94">
        <v>0.17899999999999999</v>
      </c>
      <c r="S116" s="36" t="s">
        <v>27</v>
      </c>
      <c r="T116" s="37"/>
      <c r="U116" s="41"/>
      <c r="V116" s="39" t="str">
        <f>A116</f>
        <v>吉源一KY</v>
      </c>
      <c r="W116" s="40">
        <v>3.0000000000000001E-3</v>
      </c>
    </row>
    <row r="117" spans="1:23" s="5" customFormat="1" ht="17.25" customHeight="1" x14ac:dyDescent="0.4">
      <c r="A117" s="34" t="s">
        <v>203</v>
      </c>
      <c r="B117" s="82">
        <v>84891</v>
      </c>
      <c r="C117" s="35" t="s">
        <v>204</v>
      </c>
      <c r="D117" s="83" t="s">
        <v>62</v>
      </c>
      <c r="E117" s="84">
        <v>1.7899999999999999E-2</v>
      </c>
      <c r="F117" s="85">
        <v>2.3E-2</v>
      </c>
      <c r="G117" s="86">
        <v>46351</v>
      </c>
      <c r="H117" s="86">
        <v>46365</v>
      </c>
      <c r="I117" s="87">
        <v>0.73424657534246573</v>
      </c>
      <c r="J117" s="88">
        <v>100.20010000000001</v>
      </c>
      <c r="K117" s="89">
        <v>27.9</v>
      </c>
      <c r="L117" s="90">
        <v>0.87813620071684595</v>
      </c>
      <c r="M117" s="91">
        <v>141.4</v>
      </c>
      <c r="N117" s="92">
        <v>0.61022857142857134</v>
      </c>
      <c r="O117" s="93">
        <v>43190.000000000007</v>
      </c>
      <c r="P117" s="94">
        <v>0.5828967113634228</v>
      </c>
      <c r="Q117" s="95">
        <v>3329.9209999999998</v>
      </c>
      <c r="R117" s="94">
        <v>0.308</v>
      </c>
      <c r="S117" s="36" t="s">
        <v>27</v>
      </c>
      <c r="T117" s="37"/>
      <c r="U117" s="41"/>
      <c r="V117" s="39" t="str">
        <f>A117</f>
        <v>三貝德一</v>
      </c>
      <c r="W117" s="40">
        <v>3.0000000000000001E-3</v>
      </c>
    </row>
    <row r="118" spans="1:23" s="5" customFormat="1" ht="17.25" customHeight="1" x14ac:dyDescent="0.4">
      <c r="A118" s="34" t="s">
        <v>205</v>
      </c>
      <c r="B118" s="82">
        <v>99392</v>
      </c>
      <c r="C118" s="35" t="s">
        <v>64</v>
      </c>
      <c r="D118" s="83" t="s">
        <v>65</v>
      </c>
      <c r="E118" s="84">
        <v>5.1700000000000003E-2</v>
      </c>
      <c r="F118" s="85">
        <v>0.03</v>
      </c>
      <c r="G118" s="86">
        <v>46675</v>
      </c>
      <c r="H118" s="86">
        <v>46689</v>
      </c>
      <c r="I118" s="87">
        <v>1.6219178082191781</v>
      </c>
      <c r="J118" s="88">
        <v>100</v>
      </c>
      <c r="K118" s="89">
        <v>161.19999999999999</v>
      </c>
      <c r="L118" s="90">
        <v>0.73821339950372211</v>
      </c>
      <c r="M118" s="91">
        <v>102.1</v>
      </c>
      <c r="N118" s="92">
        <v>0.3830689075630252</v>
      </c>
      <c r="O118" s="93">
        <v>7269.9999999999945</v>
      </c>
      <c r="P118" s="94">
        <v>0.99997499999999995</v>
      </c>
      <c r="Q118" s="95">
        <v>40000</v>
      </c>
      <c r="R118" s="94">
        <v>0.21099999999999999</v>
      </c>
      <c r="S118" s="36" t="s">
        <v>28</v>
      </c>
      <c r="T118" s="37"/>
      <c r="U118" s="41"/>
      <c r="V118" s="39" t="str">
        <f>A118</f>
        <v>宏全二</v>
      </c>
      <c r="W118" s="40">
        <v>3.0000000000000001E-3</v>
      </c>
    </row>
    <row r="119" spans="1:23" s="5" customFormat="1" ht="17.25" customHeight="1" x14ac:dyDescent="0.4">
      <c r="A119" s="43"/>
      <c r="B119" s="32"/>
      <c r="C119" s="44"/>
      <c r="D119" s="43"/>
      <c r="E119" s="43"/>
      <c r="F119" s="45"/>
      <c r="G119" s="43" t="s">
        <v>3</v>
      </c>
      <c r="H119" s="43"/>
      <c r="I119" s="19"/>
      <c r="J119" s="20"/>
      <c r="K119" s="20"/>
      <c r="L119" s="45"/>
      <c r="M119" s="45"/>
      <c r="N119" s="45"/>
      <c r="O119" s="45"/>
      <c r="P119" s="45"/>
      <c r="Q119" s="46"/>
      <c r="R119" s="45"/>
      <c r="S119" s="47"/>
      <c r="T119" s="48"/>
      <c r="U119" s="41"/>
      <c r="W119" s="4"/>
    </row>
    <row r="120" spans="1:23" s="5" customFormat="1" ht="17.25" customHeight="1" x14ac:dyDescent="0.4">
      <c r="A120" s="43" t="s">
        <v>31</v>
      </c>
      <c r="B120" s="32"/>
      <c r="C120" s="44"/>
      <c r="D120" s="43"/>
      <c r="E120" s="43"/>
      <c r="F120" s="45"/>
      <c r="G120" s="43" t="s">
        <v>3</v>
      </c>
      <c r="H120" s="43"/>
      <c r="I120" s="19"/>
      <c r="J120" s="20"/>
      <c r="K120" s="20"/>
      <c r="L120" s="45"/>
      <c r="M120" s="45"/>
      <c r="N120" s="45"/>
      <c r="O120" s="45"/>
      <c r="P120" s="45"/>
      <c r="Q120" s="46"/>
      <c r="R120" s="45"/>
      <c r="S120" s="47"/>
      <c r="T120" s="48"/>
      <c r="U120" s="15"/>
      <c r="W120" s="4"/>
    </row>
    <row r="121" spans="1:23" s="5" customFormat="1" ht="8.15" customHeight="1" x14ac:dyDescent="0.4">
      <c r="A121" s="43"/>
      <c r="B121" s="32"/>
      <c r="C121" s="44"/>
      <c r="D121" s="43"/>
      <c r="E121" s="43"/>
      <c r="F121" s="45" t="s">
        <v>3</v>
      </c>
      <c r="G121" s="43"/>
      <c r="H121" s="43"/>
      <c r="I121" s="19"/>
      <c r="J121" s="20"/>
      <c r="K121" s="20"/>
      <c r="L121" s="45"/>
      <c r="M121" s="45"/>
      <c r="N121" s="45"/>
      <c r="O121" s="45"/>
      <c r="P121" s="45"/>
      <c r="Q121" s="46"/>
      <c r="R121" s="45"/>
      <c r="S121" s="47"/>
      <c r="T121" s="48"/>
      <c r="U121" s="15"/>
      <c r="W121" s="4"/>
    </row>
    <row r="122" spans="1:23" s="5" customFormat="1" ht="17.25" customHeight="1" x14ac:dyDescent="0.4">
      <c r="A122" s="50"/>
      <c r="B122" s="51" t="s">
        <v>32</v>
      </c>
      <c r="C122" s="51" t="s">
        <v>33</v>
      </c>
      <c r="D122" s="52" t="s">
        <v>34</v>
      </c>
      <c r="E122" s="52"/>
      <c r="F122" s="53" t="s">
        <v>35</v>
      </c>
      <c r="G122" s="52" t="s">
        <v>36</v>
      </c>
      <c r="H122" s="52"/>
      <c r="I122" s="52" t="s">
        <v>37</v>
      </c>
      <c r="J122" s="52"/>
      <c r="K122" s="45"/>
      <c r="L122" s="45"/>
      <c r="M122" s="45"/>
      <c r="N122" s="45"/>
      <c r="O122" s="45"/>
      <c r="P122" s="47"/>
      <c r="Q122" s="54"/>
      <c r="R122" s="48"/>
      <c r="S122" s="48"/>
      <c r="T122" s="55"/>
      <c r="U122" s="4"/>
      <c r="V122" s="4"/>
      <c r="W122" s="3"/>
    </row>
    <row r="123" spans="1:23" s="5" customFormat="1" ht="17.25" customHeight="1" x14ac:dyDescent="0.4">
      <c r="A123" s="56" t="s">
        <v>38</v>
      </c>
      <c r="B123" s="96">
        <v>65152</v>
      </c>
      <c r="C123" s="57" t="str">
        <f>VLOOKUP(B123,B1:W119,21,FALSE)</f>
        <v>穎崴二</v>
      </c>
      <c r="D123" s="97">
        <f>VLOOKUP(B123,B1:W119,5,FALSE)</f>
        <v>2.5999999999999999E-2</v>
      </c>
      <c r="E123" s="97"/>
      <c r="F123" s="98">
        <f>ROUND(VLOOKUP(B123,B1:W119,4,FALSE),4)</f>
        <v>7.8299999999999995E-2</v>
      </c>
      <c r="G123" s="99">
        <f>VLOOKUP(B123,B:S,12,FALSE)</f>
        <v>174</v>
      </c>
      <c r="H123" s="99"/>
      <c r="I123" s="100">
        <f>(F123+(G123/100-1))*100000</f>
        <v>81830</v>
      </c>
      <c r="J123" s="100"/>
      <c r="K123" s="58" t="s">
        <v>39</v>
      </c>
      <c r="L123" s="45"/>
      <c r="M123" s="45"/>
      <c r="N123" s="45"/>
      <c r="O123" s="45"/>
      <c r="P123" s="47"/>
      <c r="Q123" s="54"/>
      <c r="R123" s="48"/>
      <c r="S123" s="48"/>
      <c r="T123" s="55"/>
      <c r="U123" s="4"/>
      <c r="V123" s="4"/>
      <c r="W123" s="3"/>
    </row>
    <row r="124" spans="1:23" s="5" customFormat="1" ht="17.25" customHeight="1" x14ac:dyDescent="0.4">
      <c r="A124" s="43"/>
      <c r="B124" s="32"/>
      <c r="C124" s="44"/>
      <c r="D124" s="43"/>
      <c r="E124" s="43"/>
      <c r="F124" s="45"/>
      <c r="G124" s="43"/>
      <c r="H124" s="43"/>
      <c r="I124" s="19"/>
      <c r="J124" s="20"/>
      <c r="K124" s="20"/>
      <c r="L124" s="45"/>
      <c r="M124" s="45"/>
      <c r="N124" s="45"/>
      <c r="O124" s="45"/>
      <c r="P124" s="45"/>
      <c r="Q124" s="46"/>
      <c r="R124" s="45"/>
      <c r="S124" s="47"/>
      <c r="T124" s="48"/>
      <c r="U124" s="15"/>
      <c r="W124" s="4"/>
    </row>
    <row r="125" spans="1:23" s="5" customFormat="1" ht="17.25" customHeight="1" x14ac:dyDescent="0.4">
      <c r="A125" s="43" t="s">
        <v>40</v>
      </c>
      <c r="B125" s="32"/>
      <c r="C125" s="44"/>
      <c r="D125" s="43"/>
      <c r="E125" s="43"/>
      <c r="F125" s="45"/>
      <c r="G125" s="43"/>
      <c r="H125" s="43"/>
      <c r="I125" s="19"/>
      <c r="J125" s="20"/>
      <c r="L125" s="45"/>
      <c r="M125" s="45"/>
      <c r="N125" s="45"/>
      <c r="O125" s="45"/>
      <c r="P125" s="45"/>
      <c r="Q125" s="46"/>
      <c r="R125" s="45"/>
      <c r="S125" s="47"/>
      <c r="T125" s="48"/>
      <c r="U125" s="15"/>
      <c r="W125" s="4"/>
    </row>
    <row r="126" spans="1:23" ht="17.25" customHeight="1" x14ac:dyDescent="0.4">
      <c r="A126" s="43" t="s">
        <v>41</v>
      </c>
      <c r="C126" s="44"/>
      <c r="D126" s="43"/>
      <c r="E126" s="43"/>
      <c r="F126" s="59"/>
      <c r="G126" s="43"/>
      <c r="H126" s="43"/>
      <c r="I126" s="19"/>
      <c r="J126" s="20"/>
      <c r="K126" s="20"/>
      <c r="L126" s="59"/>
      <c r="M126" s="59"/>
      <c r="N126" s="59"/>
      <c r="O126" s="59"/>
      <c r="P126" s="59"/>
      <c r="Q126" s="60"/>
      <c r="R126" s="59"/>
      <c r="S126" s="47"/>
      <c r="T126" s="48"/>
      <c r="U126" s="15"/>
    </row>
    <row r="127" spans="1:23" ht="17.25" customHeight="1" x14ac:dyDescent="0.4">
      <c r="A127" s="43" t="s">
        <v>42</v>
      </c>
      <c r="C127" s="44"/>
      <c r="D127" s="43"/>
      <c r="E127" s="43"/>
      <c r="F127" s="59"/>
      <c r="G127" s="43"/>
      <c r="H127" s="43"/>
      <c r="I127" s="19"/>
      <c r="J127" s="20"/>
      <c r="K127" s="20"/>
      <c r="L127" s="59"/>
      <c r="M127" s="59"/>
      <c r="N127" s="59"/>
      <c r="O127" s="59"/>
      <c r="P127" s="59"/>
      <c r="Q127" s="60"/>
      <c r="R127" s="59"/>
      <c r="S127" s="47"/>
      <c r="T127" s="48"/>
      <c r="U127" s="15"/>
    </row>
    <row r="128" spans="1:23" ht="17.25" customHeight="1" x14ac:dyDescent="0.4">
      <c r="A128" s="61" t="s">
        <v>43</v>
      </c>
      <c r="C128" s="44"/>
      <c r="D128" s="43"/>
      <c r="E128" s="43"/>
      <c r="F128" s="59"/>
      <c r="G128" s="43"/>
      <c r="H128" s="43"/>
      <c r="I128" s="19"/>
      <c r="J128" s="20"/>
      <c r="K128" s="20"/>
      <c r="L128" s="59"/>
      <c r="M128" s="59"/>
      <c r="N128" s="59"/>
      <c r="O128" s="59"/>
      <c r="P128" s="59"/>
      <c r="Q128" s="60"/>
      <c r="R128" s="59"/>
      <c r="S128" s="47"/>
      <c r="T128" s="48"/>
      <c r="U128" s="15"/>
      <c r="W128" s="4"/>
    </row>
    <row r="129" spans="1:44" ht="17.25" customHeight="1" x14ac:dyDescent="0.4">
      <c r="A129" s="43" t="s">
        <v>44</v>
      </c>
      <c r="C129" s="44"/>
      <c r="D129" s="43"/>
      <c r="E129" s="43"/>
      <c r="F129" s="43"/>
      <c r="G129" s="43"/>
      <c r="H129" s="43"/>
      <c r="I129" s="19"/>
      <c r="J129" s="44"/>
      <c r="K129" s="44"/>
      <c r="L129" s="43"/>
      <c r="M129" s="43"/>
      <c r="N129" s="43"/>
      <c r="O129" s="43"/>
      <c r="P129" s="43"/>
      <c r="Q129" s="62"/>
      <c r="R129" s="43"/>
      <c r="S129" s="44"/>
      <c r="T129" s="11"/>
      <c r="U129" s="63"/>
      <c r="W129" s="4"/>
    </row>
    <row r="130" spans="1:44" ht="17.25" customHeight="1" x14ac:dyDescent="0.4">
      <c r="A130" s="43" t="s">
        <v>45</v>
      </c>
      <c r="B130" s="64"/>
      <c r="C130" s="64"/>
      <c r="D130" s="64"/>
      <c r="E130" s="64"/>
      <c r="F130" s="64"/>
      <c r="G130" s="64"/>
      <c r="H130" s="64"/>
      <c r="I130" s="65"/>
      <c r="J130" s="64"/>
      <c r="K130" s="64"/>
      <c r="L130" s="64"/>
      <c r="M130" s="64"/>
      <c r="N130" s="64"/>
      <c r="O130" s="64"/>
      <c r="P130" s="64"/>
      <c r="Q130" s="66"/>
      <c r="R130" s="64"/>
      <c r="S130" s="64"/>
      <c r="T130" s="67"/>
      <c r="U130" s="68"/>
      <c r="W130" s="4"/>
    </row>
    <row r="131" spans="1:44" ht="17.25" customHeight="1" x14ac:dyDescent="0.4">
      <c r="A131" s="43" t="s">
        <v>46</v>
      </c>
      <c r="C131" s="44"/>
      <c r="D131" s="43"/>
      <c r="E131" s="43"/>
      <c r="F131" s="59"/>
      <c r="G131" s="43"/>
      <c r="H131" s="43"/>
      <c r="I131" s="19"/>
      <c r="J131" s="20"/>
      <c r="K131" s="20"/>
      <c r="L131" s="59"/>
      <c r="M131" s="59"/>
      <c r="N131" s="59"/>
      <c r="O131" s="59"/>
      <c r="P131" s="59"/>
      <c r="Q131" s="60"/>
      <c r="R131" s="59"/>
      <c r="S131" s="47"/>
      <c r="T131" s="48"/>
      <c r="U131" s="15"/>
      <c r="W131" s="4"/>
    </row>
    <row r="132" spans="1:44" ht="17.25" customHeight="1" x14ac:dyDescent="0.4">
      <c r="A132" s="6" t="s">
        <v>47</v>
      </c>
      <c r="C132" s="44"/>
      <c r="D132" s="43"/>
      <c r="E132" s="43"/>
      <c r="F132" s="59"/>
      <c r="G132" s="43"/>
      <c r="H132" s="43"/>
      <c r="I132" s="19"/>
      <c r="J132" s="20"/>
      <c r="K132" s="20"/>
      <c r="L132" s="59"/>
      <c r="M132" s="59"/>
      <c r="N132" s="59"/>
      <c r="O132" s="59"/>
      <c r="P132" s="59"/>
      <c r="Q132" s="60"/>
      <c r="R132" s="59"/>
      <c r="S132" s="47"/>
      <c r="T132" s="48"/>
      <c r="U132" s="15"/>
      <c r="W132" s="4"/>
    </row>
    <row r="133" spans="1:44" s="75" customFormat="1" ht="17.25" customHeight="1" x14ac:dyDescent="0.4">
      <c r="A133" s="69" t="s">
        <v>48</v>
      </c>
      <c r="B133" s="70"/>
      <c r="C133" s="70"/>
      <c r="D133" s="70"/>
      <c r="E133" s="70"/>
      <c r="F133" s="70"/>
      <c r="G133" s="70"/>
      <c r="H133" s="70"/>
      <c r="I133" s="71"/>
      <c r="J133" s="70"/>
      <c r="K133" s="70"/>
      <c r="L133" s="70"/>
      <c r="M133" s="70"/>
      <c r="N133" s="70"/>
      <c r="O133" s="70"/>
      <c r="P133" s="70"/>
      <c r="Q133" s="72"/>
      <c r="R133" s="70"/>
      <c r="S133" s="70"/>
      <c r="T133" s="73"/>
      <c r="U133" s="74"/>
      <c r="W133" s="76"/>
    </row>
    <row r="134" spans="1:44" ht="17.25" customHeight="1" x14ac:dyDescent="0.4">
      <c r="A134" s="6" t="s">
        <v>49</v>
      </c>
      <c r="C134" s="44"/>
      <c r="D134" s="43"/>
      <c r="E134" s="43"/>
      <c r="F134" s="59"/>
      <c r="G134" s="43"/>
      <c r="H134" s="43"/>
      <c r="I134" s="19"/>
      <c r="J134" s="20"/>
      <c r="K134" s="20"/>
      <c r="L134" s="59"/>
      <c r="M134" s="59"/>
      <c r="N134" s="59"/>
      <c r="O134" s="59"/>
      <c r="P134" s="59"/>
      <c r="Q134" s="60"/>
      <c r="R134" s="59"/>
      <c r="S134" s="47"/>
      <c r="T134" s="48"/>
      <c r="U134" s="15"/>
      <c r="W134" s="4"/>
    </row>
    <row r="135" spans="1:44" ht="17.25" customHeight="1" x14ac:dyDescent="0.4">
      <c r="A135" s="6" t="s">
        <v>50</v>
      </c>
      <c r="C135" s="44"/>
      <c r="D135" s="43"/>
      <c r="E135" s="43"/>
      <c r="F135" s="59"/>
      <c r="G135" s="43"/>
      <c r="H135" s="43"/>
      <c r="I135" s="19"/>
      <c r="J135" s="20"/>
      <c r="K135" s="20"/>
      <c r="L135" s="59"/>
      <c r="M135" s="59"/>
      <c r="N135" s="59"/>
      <c r="O135" s="59"/>
      <c r="P135" s="59"/>
      <c r="Q135" s="60"/>
      <c r="R135" s="59"/>
      <c r="S135" s="47"/>
      <c r="T135" s="48"/>
      <c r="U135" s="15"/>
      <c r="W135" s="4"/>
    </row>
    <row r="136" spans="1:44" ht="17.25" customHeight="1" x14ac:dyDescent="0.4">
      <c r="A136" s="6" t="s">
        <v>51</v>
      </c>
      <c r="C136" s="44"/>
      <c r="D136" s="43"/>
      <c r="E136" s="43"/>
      <c r="F136" s="59"/>
      <c r="G136" s="43"/>
      <c r="H136" s="43"/>
      <c r="I136" s="19"/>
      <c r="J136" s="20"/>
      <c r="K136" s="20"/>
      <c r="L136" s="59"/>
      <c r="M136" s="59"/>
      <c r="N136" s="59"/>
      <c r="O136" s="59"/>
      <c r="P136" s="59"/>
      <c r="Q136" s="60"/>
      <c r="R136" s="59"/>
      <c r="S136" s="47"/>
      <c r="T136" s="48"/>
      <c r="U136" s="15"/>
      <c r="W136" s="4"/>
    </row>
    <row r="137" spans="1:44" s="75" customFormat="1" ht="17.25" customHeight="1" x14ac:dyDescent="0.4">
      <c r="A137" s="61" t="s">
        <v>52</v>
      </c>
      <c r="I137" s="77"/>
      <c r="Q137" s="78"/>
      <c r="T137" s="73"/>
      <c r="U137" s="74"/>
      <c r="W137" s="76"/>
    </row>
    <row r="138" spans="1:44" s="75" customFormat="1" ht="17.25" customHeight="1" x14ac:dyDescent="0.4">
      <c r="A138" s="61" t="s">
        <v>53</v>
      </c>
      <c r="I138" s="77"/>
      <c r="Q138" s="78"/>
      <c r="T138" s="73"/>
      <c r="U138" s="74"/>
      <c r="W138" s="76"/>
    </row>
    <row r="139" spans="1:44" s="5" customFormat="1" ht="17.25" customHeight="1" x14ac:dyDescent="0.4">
      <c r="A139" s="6"/>
      <c r="B139" s="6"/>
      <c r="C139" s="6"/>
      <c r="D139" s="6"/>
      <c r="E139" s="6"/>
      <c r="F139" s="6"/>
      <c r="G139" s="6"/>
      <c r="H139" s="6"/>
      <c r="I139" s="79"/>
      <c r="J139" s="6"/>
      <c r="K139" s="6"/>
      <c r="L139" s="6"/>
      <c r="M139" s="6"/>
      <c r="N139" s="6"/>
      <c r="O139" s="6"/>
      <c r="P139" s="6"/>
      <c r="Q139" s="49"/>
      <c r="R139" s="6"/>
      <c r="S139" s="6"/>
      <c r="T139" s="12"/>
      <c r="U139" s="80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</row>
  </sheetData>
  <autoFilter ref="A7:W120"/>
  <mergeCells count="9">
    <mergeCell ref="D123:E123"/>
    <mergeCell ref="G123:H123"/>
    <mergeCell ref="I123:J123"/>
    <mergeCell ref="A2:S2"/>
    <mergeCell ref="A3:S3"/>
    <mergeCell ref="A4:S4"/>
    <mergeCell ref="D122:E122"/>
    <mergeCell ref="G122:H122"/>
    <mergeCell ref="I122:J122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2026-03-13T01:56:15Z</dcterms:created>
  <dcterms:modified xsi:type="dcterms:W3CDTF">2026-03-13T02:13:43Z</dcterms:modified>
</cp:coreProperties>
</file>