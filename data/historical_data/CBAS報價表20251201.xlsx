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金融交易部資產交換選擇權報價表!$A$7:$W$157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0" i="1" l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C160" i="1" l="1"/>
  <c r="F160" i="1" l="1"/>
  <c r="G160" i="1" l="1"/>
  <c r="I160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20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23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V36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V6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遠銀;K</t>
        </r>
      </text>
    </comment>
    <comment ref="V71" authorId="0" shapeId="0">
      <text>
        <r>
          <rPr>
            <b/>
            <sz val="9"/>
            <color indexed="81"/>
            <rFont val="細明體"/>
            <family val="3"/>
            <charset val="136"/>
          </rPr>
          <t>CLN</t>
        </r>
      </text>
    </comment>
    <comment ref="V76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8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V9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108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0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111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9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29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30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33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54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中租4.25%
大慶/遠銀3.5%
</t>
        </r>
      </text>
    </comment>
    <comment ref="V155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6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<sst xmlns="http://schemas.openxmlformats.org/spreadsheetml/2006/main" count="660" uniqueCount="242">
  <si>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</si>
  <si>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</si>
  <si>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</si>
  <si>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</si>
  <si>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</si>
  <si>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</si>
  <si>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</si>
  <si>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</si>
  <si>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</si>
  <si>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</si>
  <si>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</si>
  <si>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</si>
  <si>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</si>
  <si>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</si>
  <si>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</si>
  <si>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</si>
  <si>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</si>
  <si>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</si>
  <si>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</si>
  <si>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</si>
  <si>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</si>
  <si>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</si>
  <si>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</si>
  <si>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</si>
  <si>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</si>
  <si>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</si>
  <si>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</si>
  <si>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</si>
  <si>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</si>
  <si>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</si>
  <si>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新掛牌</t>
    <phoneticPr fontId="9" type="noConversion"/>
  </si>
  <si>
    <t>12/1(一)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</si>
  <si>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</si>
  <si>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</si>
  <si>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</si>
  <si>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大樹三</t>
    <phoneticPr fontId="9" type="noConversion"/>
  </si>
  <si>
    <t>南俊國際一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</si>
  <si>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</si>
  <si>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</si>
  <si>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</si>
  <si>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</si>
  <si>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</si>
  <si>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</si>
  <si>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</si>
  <si>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</si>
  <si>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</si>
  <si>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</si>
  <si>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</si>
  <si>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</si>
  <si>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</si>
  <si>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</si>
  <si>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</si>
  <si>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</si>
  <si>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</si>
  <si>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</si>
  <si>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</si>
  <si>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</si>
  <si>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</si>
  <si>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</si>
  <si>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</si>
  <si>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上曜四</t>
  </si>
  <si>
    <t>有，台北富邦商業銀行股份有限公司</t>
  </si>
  <si>
    <t>8</t>
  </si>
  <si>
    <t>上曜六</t>
  </si>
  <si>
    <t>有，板信商業銀行股份有限公司</t>
  </si>
  <si>
    <t>聚隆四</t>
  </si>
  <si>
    <t>有，台中商業銀行股份有限公司</t>
  </si>
  <si>
    <t>7</t>
  </si>
  <si>
    <t>三洋實業二</t>
  </si>
  <si>
    <t>6</t>
  </si>
  <si>
    <t>亞力二</t>
  </si>
  <si>
    <t>無</t>
  </si>
  <si>
    <t>中砂一</t>
  </si>
  <si>
    <t>4</t>
  </si>
  <si>
    <t>和勤四</t>
  </si>
  <si>
    <t>有，合作金庫商業銀行股份有限公司</t>
  </si>
  <si>
    <t>大亞五</t>
  </si>
  <si>
    <t>5</t>
  </si>
  <si>
    <t>科妍三</t>
  </si>
  <si>
    <t>劍麟三</t>
  </si>
  <si>
    <t>汎德永業一</t>
  </si>
  <si>
    <t>汎德永業二</t>
  </si>
  <si>
    <t>順德一</t>
  </si>
  <si>
    <t>金像電三</t>
  </si>
  <si>
    <t>3</t>
  </si>
  <si>
    <t>毅嘉三</t>
  </si>
  <si>
    <t>偉詮電一</t>
  </si>
  <si>
    <t>美律四</t>
  </si>
  <si>
    <t>光群雷六</t>
  </si>
  <si>
    <t>良得電四</t>
  </si>
  <si>
    <t>鉅祥二</t>
  </si>
  <si>
    <t>皇普三</t>
  </si>
  <si>
    <t>有，元大商業銀行股份有限公司</t>
  </si>
  <si>
    <t>華航七</t>
  </si>
  <si>
    <t>王品一</t>
  </si>
  <si>
    <t>山富一</t>
  </si>
  <si>
    <t>八方雲集一</t>
  </si>
  <si>
    <t>八方雲集二</t>
  </si>
  <si>
    <t>揚秦一</t>
  </si>
  <si>
    <t>聯發國際一</t>
  </si>
  <si>
    <t>高林一</t>
  </si>
  <si>
    <t>晶豪科一</t>
  </si>
  <si>
    <t>晟銘電四</t>
  </si>
  <si>
    <t>有，兆豐國際商業銀行股份有限公司、中國信託商業銀行股份有限公司</t>
  </si>
  <si>
    <t>偉訓一</t>
  </si>
  <si>
    <t>威健七</t>
  </si>
  <si>
    <t>欣興一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</si>
  <si>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</si>
  <si>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</si>
  <si>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</si>
  <si>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</si>
  <si>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</si>
  <si>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</si>
  <si>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</si>
  <si>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弘塑一</t>
  </si>
  <si>
    <t>弘塑二</t>
  </si>
  <si>
    <t>虹冠電一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</si>
  <si>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</si>
  <si>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</si>
  <si>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</si>
  <si>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</si>
  <si>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</si>
  <si>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</si>
  <si>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</si>
  <si>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</si>
  <si>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</si>
  <si>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安勤三</t>
  </si>
  <si>
    <t>力致四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</si>
  <si>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</si>
  <si>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</si>
  <si>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</si>
  <si>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</si>
  <si>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</si>
  <si>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</si>
  <si>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凡甲六</t>
  </si>
  <si>
    <t>凡甲七</t>
  </si>
  <si>
    <t>兆利二</t>
  </si>
  <si>
    <t>兆利三</t>
  </si>
  <si>
    <t>辛耘一</t>
  </si>
  <si>
    <t>閎康一</t>
  </si>
  <si>
    <t>宏致三</t>
  </si>
  <si>
    <t>碩天三</t>
  </si>
  <si>
    <t>家登四</t>
  </si>
  <si>
    <t>榮昌一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</si>
  <si>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</si>
  <si>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</si>
  <si>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</si>
  <si>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</si>
  <si>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</si>
  <si>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</si>
  <si>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聯上五</t>
  </si>
  <si>
    <t>有，板信商業銀行</t>
  </si>
  <si>
    <t>晟德六</t>
  </si>
  <si>
    <t>有，永豐商業銀行股份有限公司忠孝分公司</t>
  </si>
  <si>
    <t>聯合五</t>
  </si>
  <si>
    <t>承業醫五</t>
  </si>
  <si>
    <t>醣聯四</t>
  </si>
  <si>
    <t>有，臺灣土地銀行</t>
  </si>
  <si>
    <t>三圓三</t>
  </si>
  <si>
    <t>廣越三</t>
  </si>
  <si>
    <t>桓達一</t>
  </si>
  <si>
    <t>氣立四</t>
  </si>
  <si>
    <t>有，彰化商業銀行</t>
  </si>
  <si>
    <t>寶緯一</t>
  </si>
  <si>
    <t>有，華南商業銀行股份有限公司</t>
  </si>
  <si>
    <t>駐龍一</t>
  </si>
  <si>
    <t>國精化三</t>
  </si>
  <si>
    <t>康普三</t>
  </si>
  <si>
    <t>有，彰化商業銀行股份有限公司</t>
  </si>
  <si>
    <t>正文六</t>
  </si>
  <si>
    <t>華星光四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</si>
  <si>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</si>
  <si>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</si>
  <si>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</si>
  <si>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</si>
  <si>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</si>
  <si>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</si>
  <si>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</si>
  <si>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</si>
  <si>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中磊七</t>
  </si>
  <si>
    <t>崇越二</t>
  </si>
  <si>
    <t>高技一</t>
  </si>
  <si>
    <t>南良一</t>
  </si>
  <si>
    <t>四維航六</t>
  </si>
  <si>
    <t>有，陽信商業銀行</t>
  </si>
  <si>
    <t>四維航七</t>
  </si>
  <si>
    <t>創惟一</t>
  </si>
  <si>
    <t>信音三</t>
  </si>
  <si>
    <t>達麗七</t>
  </si>
  <si>
    <t>大豐電三</t>
  </si>
  <si>
    <t>萬潤五</t>
  </si>
  <si>
    <t>豐藝四</t>
  </si>
  <si>
    <t>萬泰科七</t>
  </si>
  <si>
    <t>帆宣五</t>
  </si>
  <si>
    <t>佳必琪三</t>
  </si>
  <si>
    <t>今國光三</t>
  </si>
  <si>
    <t>有，中國信託商業銀行</t>
  </si>
  <si>
    <t>富旺四</t>
  </si>
  <si>
    <t>台燿五</t>
  </si>
  <si>
    <t>康舒二</t>
  </si>
  <si>
    <t>佳邦三</t>
  </si>
  <si>
    <t>良維十</t>
  </si>
  <si>
    <t>樺漢五</t>
  </si>
  <si>
    <t>易發一</t>
  </si>
  <si>
    <t>有，上海商業儲蓄銀行股份有限公司</t>
  </si>
  <si>
    <t>易華電一</t>
  </si>
  <si>
    <t>鼎基一</t>
  </si>
  <si>
    <t>聚和六</t>
  </si>
  <si>
    <t>萬年清一</t>
  </si>
  <si>
    <t>群翊二</t>
  </si>
  <si>
    <t>嘉基二</t>
  </si>
  <si>
    <t>龍德造船一</t>
  </si>
  <si>
    <t>志強一KY</t>
  </si>
  <si>
    <t>平和環保一創</t>
  </si>
  <si>
    <t>聯寶一</t>
  </si>
  <si>
    <t>汎銓一</t>
  </si>
  <si>
    <t>錼創科技一KY創</t>
  </si>
  <si>
    <t>大井泵浦一</t>
  </si>
  <si>
    <t>大井泵浦二</t>
  </si>
  <si>
    <t>意德士一永</t>
  </si>
  <si>
    <t>意德士二</t>
  </si>
  <si>
    <t>邑錡二</t>
  </si>
  <si>
    <t>威力德生醫一</t>
  </si>
  <si>
    <t>廣積六</t>
  </si>
  <si>
    <t>正淩三</t>
  </si>
  <si>
    <t>博智一</t>
  </si>
  <si>
    <t>朋程一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</si>
  <si>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</si>
  <si>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</si>
  <si>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</si>
  <si>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</si>
  <si>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可寧衛一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</si>
  <si>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</si>
  <si>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</si>
  <si>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</si>
  <si>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</si>
  <si>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</si>
  <si>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</si>
  <si>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</si>
  <si>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</si>
  <si>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鈺齊六KY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</si>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</sst>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7" formatCode="_(* #,##0.00_);_(* \(#,##0.00\);_(* &quot;-&quot;??_);_(@_)"/>
    <numFmt numFmtId="178" formatCode="_(* #,##0_);_(* \(#,##0\);_(* &quot;-&quot;??_);_(@_)"/>
    <numFmt numFmtId="179" formatCode="0.00_);[Red]\(0.00\)"/>
    <numFmt numFmtId="180" formatCode="yyyy/mm/dd"/>
    <numFmt numFmtId="181" formatCode="0.0000_ "/>
    <numFmt numFmtId="182" formatCode="0.00_ "/>
    <numFmt numFmtId="183" formatCode="#,##0_ "/>
    <numFmt numFmtId="186" formatCode="0_ "/>
  </numFmts>
  <fonts count="28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12"/>
      <color indexed="8"/>
      <name val="Calibri"/>
      <family val="2"/>
    </font>
    <font>
      <b/>
      <sz val="12"/>
      <color theme="1"/>
      <name val="Calibri"/>
      <family val="2"/>
    </font>
    <font>
      <sz val="12"/>
      <color indexed="8"/>
      <name val="Calibri"/>
      <family val="2"/>
    </font>
    <font>
      <sz val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7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29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8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9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2" applyFont="1" applyFill="1" applyBorder="1" applyAlignment="1" applyProtection="1">
      <alignment horizontal="left" vertical="center"/>
      <protection hidden="1"/>
    </xf>
    <xf numFmtId="0" fontId="12" fillId="3" borderId="1" xfId="2" applyFont="1" applyFill="1" applyBorder="1" applyAlignment="1" applyProtection="1">
      <alignment horizontal="center" vertical="center"/>
      <protection hidden="1"/>
    </xf>
    <xf numFmtId="49" fontId="12" fillId="3" borderId="1" xfId="2" applyNumberFormat="1" applyFont="1" applyFill="1" applyBorder="1" applyAlignment="1" applyProtection="1">
      <alignment horizontal="left" vertical="center"/>
      <protection hidden="1"/>
    </xf>
    <xf numFmtId="179" fontId="12" fillId="3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2" applyFont="1" applyFill="1" applyBorder="1" applyAlignment="1" applyProtection="1">
      <alignment horizontal="left" vertical="center" wrapText="1"/>
      <protection hidden="1"/>
    </xf>
    <xf numFmtId="178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2" applyNumberFormat="1" applyFont="1" applyFill="1" applyBorder="1" applyAlignment="1" applyProtection="1">
      <alignment horizontal="center" vertical="center"/>
      <protection hidden="1"/>
    </xf>
    <xf numFmtId="14" fontId="13" fillId="3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Fill="1" applyAlignment="1">
      <alignment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183" fontId="2" fillId="0" borderId="1" xfId="3" applyNumberFormat="1" applyFont="1" applyFill="1" applyBorder="1" applyAlignment="1">
      <alignment horizontal="left" vertical="center" wrapText="1"/>
    </xf>
    <xf numFmtId="183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/>
    </xf>
    <xf numFmtId="183" fontId="2" fillId="2" borderId="1" xfId="3" applyNumberFormat="1" applyFont="1" applyFill="1" applyBorder="1" applyAlignment="1">
      <alignment horizontal="left" vertical="center" wrapText="1"/>
    </xf>
    <xf numFmtId="183" fontId="2" fillId="2" borderId="1" xfId="3" applyNumberFormat="1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4" fillId="0" borderId="0" xfId="3" applyNumberFormat="1" applyFont="1" applyFill="1" applyBorder="1" applyAlignment="1">
      <alignment horizontal="right" vertical="center"/>
    </xf>
    <xf numFmtId="178" fontId="14" fillId="0" borderId="0" xfId="1" applyNumberFormat="1" applyFont="1" applyFill="1" applyBorder="1" applyAlignment="1">
      <alignment horizontal="right" vertical="center"/>
    </xf>
    <xf numFmtId="179" fontId="5" fillId="0" borderId="0" xfId="2" applyNumberFormat="1" applyFont="1" applyFill="1" applyBorder="1" applyAlignment="1" applyProtection="1">
      <alignment horizontal="left" vertical="center"/>
      <protection hidden="1"/>
    </xf>
    <xf numFmtId="179" fontId="5" fillId="0" borderId="0" xfId="2" applyNumberFormat="1" applyFont="1" applyFill="1" applyBorder="1" applyAlignment="1" applyProtection="1">
      <alignment horizontal="center" vertical="center"/>
      <protection hidden="1"/>
    </xf>
    <xf numFmtId="178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178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4" borderId="2" xfId="0" applyFont="1" applyFill="1" applyBorder="1" applyAlignment="1">
      <alignment horizontal="right" vertical="center"/>
    </xf>
    <xf numFmtId="186" fontId="5" fillId="4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83" fontId="2" fillId="7" borderId="3" xfId="0" applyNumberFormat="1" applyFont="1" applyFill="1" applyBorder="1" applyAlignment="1">
      <alignment horizontal="center" vertical="center"/>
    </xf>
    <xf numFmtId="10" fontId="16" fillId="0" borderId="0" xfId="3" applyNumberFormat="1" applyFont="1" applyFill="1" applyBorder="1" applyAlignment="1">
      <alignment horizontal="left" vertical="center"/>
    </xf>
    <xf numFmtId="179" fontId="5" fillId="0" borderId="0" xfId="2" applyNumberFormat="1" applyFont="1" applyFill="1" applyBorder="1" applyAlignment="1" applyProtection="1">
      <alignment vertical="center"/>
      <protection hidden="1"/>
    </xf>
    <xf numFmtId="178" fontId="5" fillId="0" borderId="0" xfId="1" applyNumberFormat="1" applyFont="1" applyFill="1" applyBorder="1" applyAlignment="1" applyProtection="1">
      <alignment vertical="center"/>
      <protection hidden="1"/>
    </xf>
    <xf numFmtId="0" fontId="17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9" fontId="5" fillId="0" borderId="0" xfId="3" applyNumberFormat="1" applyFont="1" applyAlignment="1">
      <alignment vertical="center" wrapText="1"/>
    </xf>
    <xf numFmtId="178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18" fillId="0" borderId="0" xfId="2" applyNumberFormat="1" applyFont="1" applyFill="1" applyBorder="1" applyAlignment="1" applyProtection="1">
      <alignment vertical="center"/>
      <protection hidden="1"/>
    </xf>
    <xf numFmtId="0" fontId="18" fillId="0" borderId="0" xfId="3" applyFont="1" applyAlignment="1">
      <alignment vertical="center"/>
    </xf>
    <xf numFmtId="179" fontId="18" fillId="0" borderId="0" xfId="3" applyNumberFormat="1" applyFont="1" applyAlignment="1">
      <alignment vertical="center"/>
    </xf>
    <xf numFmtId="178" fontId="18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179" fontId="6" fillId="0" borderId="0" xfId="3" applyNumberFormat="1" applyFont="1" applyAlignment="1">
      <alignment vertical="center"/>
    </xf>
    <xf numFmtId="178" fontId="6" fillId="0" borderId="0" xfId="1" applyNumberFormat="1" applyFont="1" applyAlignment="1">
      <alignment vertical="center"/>
    </xf>
    <xf numFmtId="179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10" fontId="24" fillId="4" borderId="1" xfId="2" applyNumberFormat="1" applyFont="1" applyFill="1" applyBorder="1" applyAlignment="1" applyProtection="1">
      <alignment horizontal="center" vertical="center"/>
      <protection hidden="1"/>
    </xf>
    <xf numFmtId="180" fontId="26" fillId="0" borderId="1" xfId="3" applyNumberFormat="1" applyFont="1" applyFill="1" applyBorder="1" applyAlignment="1">
      <alignment horizontal="center" vertical="center" wrapText="1"/>
    </xf>
    <xf numFmtId="179" fontId="26" fillId="0" borderId="1" xfId="2" applyNumberFormat="1" applyFont="1" applyFill="1" applyBorder="1" applyAlignment="1" applyProtection="1">
      <alignment horizontal="center" vertical="center"/>
      <protection hidden="1"/>
    </xf>
    <xf numFmtId="181" fontId="26" fillId="0" borderId="1" xfId="3" applyNumberFormat="1" applyFont="1" applyFill="1" applyBorder="1" applyAlignment="1">
      <alignment horizontal="left" vertical="center" wrapText="1"/>
    </xf>
    <xf numFmtId="182" fontId="26" fillId="0" borderId="1" xfId="3" applyNumberFormat="1" applyFont="1" applyFill="1" applyBorder="1" applyAlignment="1">
      <alignment horizontal="center" vertical="center" wrapText="1"/>
    </xf>
    <xf numFmtId="10" fontId="27" fillId="0" borderId="1" xfId="3" applyNumberFormat="1" applyFont="1" applyFill="1" applyBorder="1" applyAlignment="1">
      <alignment horizontal="right" vertical="center"/>
    </xf>
    <xf numFmtId="182" fontId="27" fillId="0" borderId="1" xfId="3" applyNumberFormat="1" applyFont="1" applyFill="1" applyBorder="1" applyAlignment="1">
      <alignment horizontal="right" vertical="center"/>
    </xf>
    <xf numFmtId="9" fontId="27" fillId="0" borderId="1" xfId="3" applyNumberFormat="1" applyFont="1" applyFill="1" applyBorder="1" applyAlignment="1">
      <alignment horizontal="right" vertical="center"/>
    </xf>
    <xf numFmtId="183" fontId="24" fillId="4" borderId="1" xfId="3" applyNumberFormat="1" applyFont="1" applyFill="1" applyBorder="1" applyAlignment="1">
      <alignment horizontal="right" vertical="center" wrapText="1"/>
    </xf>
    <xf numFmtId="9" fontId="26" fillId="0" borderId="1" xfId="3" applyNumberFormat="1" applyFont="1" applyFill="1" applyBorder="1" applyAlignment="1">
      <alignment horizontal="right" vertical="center" wrapText="1"/>
    </xf>
    <xf numFmtId="178" fontId="26" fillId="0" borderId="1" xfId="1" applyNumberFormat="1" applyFont="1" applyFill="1" applyBorder="1" applyAlignment="1">
      <alignment horizontal="right" vertical="center" wrapText="1"/>
    </xf>
    <xf numFmtId="10" fontId="24" fillId="2" borderId="1" xfId="2" applyNumberFormat="1" applyFont="1" applyFill="1" applyBorder="1" applyAlignment="1" applyProtection="1">
      <alignment horizontal="center" vertical="center"/>
      <protection hidden="1"/>
    </xf>
    <xf numFmtId="180" fontId="26" fillId="2" borderId="1" xfId="3" applyNumberFormat="1" applyFont="1" applyFill="1" applyBorder="1" applyAlignment="1">
      <alignment horizontal="center" vertical="center" wrapText="1"/>
    </xf>
    <xf numFmtId="179" fontId="26" fillId="2" borderId="1" xfId="2" applyNumberFormat="1" applyFont="1" applyFill="1" applyBorder="1" applyAlignment="1" applyProtection="1">
      <alignment horizontal="center" vertical="center"/>
      <protection hidden="1"/>
    </xf>
    <xf numFmtId="181" fontId="26" fillId="2" borderId="1" xfId="3" applyNumberFormat="1" applyFont="1" applyFill="1" applyBorder="1" applyAlignment="1">
      <alignment horizontal="left" vertical="center" wrapText="1"/>
    </xf>
    <xf numFmtId="182" fontId="26" fillId="2" borderId="1" xfId="3" applyNumberFormat="1" applyFont="1" applyFill="1" applyBorder="1" applyAlignment="1">
      <alignment horizontal="center" vertical="center" wrapText="1"/>
    </xf>
    <xf numFmtId="10" fontId="27" fillId="2" borderId="1" xfId="3" applyNumberFormat="1" applyFont="1" applyFill="1" applyBorder="1" applyAlignment="1">
      <alignment horizontal="right" vertical="center"/>
    </xf>
    <xf numFmtId="182" fontId="27" fillId="2" borderId="1" xfId="3" applyNumberFormat="1" applyFont="1" applyFill="1" applyBorder="1" applyAlignment="1">
      <alignment horizontal="right" vertical="center"/>
    </xf>
    <xf numFmtId="9" fontId="27" fillId="2" borderId="1" xfId="3" applyNumberFormat="1" applyFont="1" applyFill="1" applyBorder="1" applyAlignment="1">
      <alignment horizontal="right" vertical="center"/>
    </xf>
    <xf numFmtId="183" fontId="24" fillId="2" borderId="1" xfId="3" applyNumberFormat="1" applyFont="1" applyFill="1" applyBorder="1" applyAlignment="1">
      <alignment horizontal="right" vertical="center" wrapText="1"/>
    </xf>
    <xf numFmtId="9" fontId="26" fillId="2" borderId="1" xfId="3" applyNumberFormat="1" applyFont="1" applyFill="1" applyBorder="1" applyAlignment="1">
      <alignment horizontal="right" vertical="center" wrapText="1"/>
    </xf>
    <xf numFmtId="178" fontId="26" fillId="2" borderId="1" xfId="1" applyNumberFormat="1" applyFont="1" applyFill="1" applyBorder="1" applyAlignment="1">
      <alignment horizontal="right" vertical="center" wrapText="1"/>
    </xf>
    <xf numFmtId="0" fontId="27" fillId="0" borderId="1" xfId="3" applyFont="1" applyFill="1" applyBorder="1" applyAlignment="1">
      <alignment horizontal="center" vertical="center" wrapText="1"/>
    </xf>
    <xf numFmtId="0" fontId="27" fillId="2" borderId="1" xfId="3" applyFont="1" applyFill="1" applyBorder="1" applyAlignment="1">
      <alignment horizontal="center" vertical="center" wrapText="1"/>
    </xf>
    <xf numFmtId="0" fontId="27" fillId="0" borderId="1" xfId="3" applyFont="1" applyFill="1" applyBorder="1" applyAlignment="1">
      <alignment horizontal="left" vertical="center"/>
    </xf>
    <xf numFmtId="0" fontId="27" fillId="2" borderId="1" xfId="3" applyFont="1" applyFill="1" applyBorder="1" applyAlignment="1">
      <alignment horizontal="left" vertical="center"/>
    </xf>
    <xf numFmtId="49" fontId="12" fillId="3" borderId="1" xfId="2" applyNumberFormat="1" applyFont="1" applyFill="1" applyBorder="1" applyAlignment="1" applyProtection="1">
      <alignment horizontal="center" vertical="center"/>
      <protection hidden="1"/>
    </xf>
    <xf numFmtId="10" fontId="25" fillId="4" borderId="1" xfId="3" applyNumberFormat="1" applyFont="1" applyFill="1" applyBorder="1" applyAlignment="1">
      <alignment horizontal="center" vertical="center"/>
    </xf>
    <xf numFmtId="10" fontId="25" fillId="2" borderId="1" xfId="3" applyNumberFormat="1" applyFont="1" applyFill="1" applyBorder="1" applyAlignment="1">
      <alignment horizontal="center" vertical="center"/>
    </xf>
    <xf numFmtId="10" fontId="14" fillId="0" borderId="0" xfId="3" applyNumberFormat="1" applyFont="1" applyFill="1" applyBorder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3" fillId="0" borderId="0" xfId="2" applyNumberFormat="1" applyFont="1" applyFill="1" applyBorder="1" applyAlignment="1" applyProtection="1">
      <alignment horizontal="right" vertical="center"/>
      <protection hidden="1"/>
    </xf>
    <xf numFmtId="0" fontId="13" fillId="0" borderId="0" xfId="3" applyFont="1" applyAlignment="1">
      <alignment horizontal="righ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10" fontId="13" fillId="0" borderId="0" xfId="3" applyNumberFormat="1" applyFont="1" applyFill="1" applyAlignment="1">
      <alignment vertical="center"/>
    </xf>
    <xf numFmtId="10" fontId="13" fillId="0" borderId="0" xfId="3" applyNumberFormat="1" applyFont="1" applyFill="1" applyAlignment="1">
      <alignment horizontal="right" vertical="center"/>
    </xf>
    <xf numFmtId="0" fontId="13" fillId="0" borderId="0" xfId="3" applyFont="1" applyFill="1" applyAlignment="1">
      <alignment horizontal="right" vertical="center"/>
    </xf>
    <xf numFmtId="0" fontId="13" fillId="0" borderId="0" xfId="3" applyFont="1" applyFill="1" applyAlignment="1">
      <alignment horizontal="left" vertical="center"/>
    </xf>
    <xf numFmtId="0" fontId="5" fillId="8" borderId="1" xfId="3" applyFont="1" applyFill="1" applyBorder="1" applyAlignment="1">
      <alignment horizontal="left" vertical="center" wrapText="1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168</xdr:row>
      <xdr:rowOff>0</xdr:rowOff>
    </xdr:from>
    <xdr:to>
      <xdr:col>4</xdr:col>
      <xdr:colOff>0</xdr:colOff>
      <xdr:row>168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6108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172</xdr:row>
      <xdr:rowOff>0</xdr:rowOff>
    </xdr:from>
    <xdr:to>
      <xdr:col>4</xdr:col>
      <xdr:colOff>0</xdr:colOff>
      <xdr:row>172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697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168</xdr:row>
      <xdr:rowOff>0</xdr:rowOff>
    </xdr:from>
    <xdr:to>
      <xdr:col>4</xdr:col>
      <xdr:colOff>0</xdr:colOff>
      <xdr:row>168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6108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172</xdr:row>
      <xdr:rowOff>0</xdr:rowOff>
    </xdr:from>
    <xdr:to>
      <xdr:col>4</xdr:col>
      <xdr:colOff>0</xdr:colOff>
      <xdr:row>172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697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167</xdr:row>
      <xdr:rowOff>0</xdr:rowOff>
    </xdr:from>
    <xdr:to>
      <xdr:col>4</xdr:col>
      <xdr:colOff>0</xdr:colOff>
      <xdr:row>167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5892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171</xdr:row>
      <xdr:rowOff>0</xdr:rowOff>
    </xdr:from>
    <xdr:to>
      <xdr:col>4</xdr:col>
      <xdr:colOff>0</xdr:colOff>
      <xdr:row>171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67563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168</xdr:row>
      <xdr:rowOff>0</xdr:rowOff>
    </xdr:from>
    <xdr:to>
      <xdr:col>4</xdr:col>
      <xdr:colOff>0</xdr:colOff>
      <xdr:row>168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108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172</xdr:row>
      <xdr:rowOff>0</xdr:rowOff>
    </xdr:from>
    <xdr:to>
      <xdr:col>4</xdr:col>
      <xdr:colOff>0</xdr:colOff>
      <xdr:row>172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97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168</xdr:row>
      <xdr:rowOff>0</xdr:rowOff>
    </xdr:from>
    <xdr:to>
      <xdr:col>4</xdr:col>
      <xdr:colOff>0</xdr:colOff>
      <xdr:row>168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108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172</xdr:row>
      <xdr:rowOff>0</xdr:rowOff>
    </xdr:from>
    <xdr:to>
      <xdr:col>4</xdr:col>
      <xdr:colOff>0</xdr:colOff>
      <xdr:row>172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97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167</xdr:row>
      <xdr:rowOff>0</xdr:rowOff>
    </xdr:from>
    <xdr:to>
      <xdr:col>4</xdr:col>
      <xdr:colOff>0</xdr:colOff>
      <xdr:row>167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892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77"/>
  <sheetViews>
    <sheetView tabSelected="1" zoomScale="70" zoomScaleNormal="70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H10" sqref="H10"/>
    </sheetView>
  </sheetViews>
  <sheetFormatPr defaultColWidth="8.7265625" defaultRowHeight="17.25" customHeight="1" x14ac:dyDescent="0.4"/>
  <cols>
    <col min="1" max="1" width="15.08984375" style="6" customWidth="1"/>
    <col min="2" max="2" width="8.08984375" style="2" customWidth="1"/>
    <col min="3" max="3" width="19.26953125" style="2" customWidth="1"/>
    <col min="4" max="4" width="8.453125" style="6" bestFit="1" customWidth="1"/>
    <col min="5" max="5" width="14.26953125" style="11" customWidth="1"/>
    <col min="6" max="6" width="14.26953125" style="15" customWidth="1"/>
    <col min="7" max="7" width="14.453125" style="6" customWidth="1"/>
    <col min="8" max="8" width="13.08984375" style="6" customWidth="1"/>
    <col min="9" max="9" width="12.453125" style="86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1" customWidth="1"/>
    <col min="18" max="18" width="16.08984375" style="5" customWidth="1"/>
    <col min="19" max="19" width="13.453125" style="3" customWidth="1"/>
    <col min="20" max="20" width="12.08984375" style="15" bestFit="1" customWidth="1"/>
    <col min="21" max="21" width="18.90625" style="88" bestFit="1" customWidth="1"/>
    <col min="22" max="22" width="8.90625" style="34" hidden="1" customWidth="1"/>
    <col min="23" max="23" width="9.6328125" style="121" hidden="1" customWidth="1"/>
    <col min="24" max="16384" width="8.7265625" style="6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0">
        <v>5</v>
      </c>
      <c r="F1" s="10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20">
        <v>22</v>
      </c>
      <c r="W1" s="120">
        <v>23</v>
      </c>
    </row>
    <row r="2" spans="1:23" ht="17.25" customHeight="1" x14ac:dyDescent="0.4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  <c r="U2" s="9"/>
    </row>
    <row r="3" spans="1:23" ht="17.25" customHeight="1" x14ac:dyDescent="0.4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9"/>
    </row>
    <row r="4" spans="1:23" ht="17.25" customHeight="1" x14ac:dyDescent="0.4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  <c r="U4" s="9"/>
    </row>
    <row r="5" spans="1:23" s="11" customFormat="1" ht="17.25" customHeight="1" x14ac:dyDescent="0.4">
      <c r="A5" s="10"/>
      <c r="C5" s="10"/>
      <c r="E5" s="10"/>
      <c r="F5" s="10"/>
      <c r="H5" s="10"/>
      <c r="J5" s="10"/>
      <c r="M5" s="10"/>
      <c r="O5" s="10"/>
      <c r="Q5" s="12"/>
      <c r="R5" s="10"/>
      <c r="T5" s="13"/>
      <c r="U5" s="14"/>
      <c r="V5" s="122"/>
      <c r="W5" s="122"/>
    </row>
    <row r="6" spans="1:23" ht="17.25" customHeight="1" x14ac:dyDescent="0.4">
      <c r="A6" s="16"/>
      <c r="B6" s="16" t="s">
        <v>4</v>
      </c>
      <c r="C6" s="17">
        <v>45992</v>
      </c>
      <c r="H6" s="18"/>
      <c r="I6" s="19"/>
      <c r="J6" s="20"/>
      <c r="K6" s="20"/>
      <c r="S6" s="22"/>
      <c r="T6" s="23" t="s">
        <v>3</v>
      </c>
      <c r="U6" s="23"/>
    </row>
    <row r="7" spans="1:23" s="34" customFormat="1" ht="18" customHeight="1" x14ac:dyDescent="0.4">
      <c r="A7" s="24" t="s">
        <v>5</v>
      </c>
      <c r="B7" s="24" t="s">
        <v>6</v>
      </c>
      <c r="C7" s="24" t="s">
        <v>7</v>
      </c>
      <c r="D7" s="24" t="s">
        <v>8</v>
      </c>
      <c r="E7" s="25" t="s">
        <v>9</v>
      </c>
      <c r="F7" s="115" t="s">
        <v>10</v>
      </c>
      <c r="G7" s="25" t="s">
        <v>11</v>
      </c>
      <c r="H7" s="24" t="s">
        <v>12</v>
      </c>
      <c r="I7" s="27" t="s">
        <v>13</v>
      </c>
      <c r="J7" s="28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9" t="s">
        <v>21</v>
      </c>
      <c r="R7" s="26" t="s">
        <v>22</v>
      </c>
      <c r="S7" s="26" t="s">
        <v>23</v>
      </c>
      <c r="T7" s="30" t="s">
        <v>24</v>
      </c>
      <c r="U7" s="31" t="s">
        <v>25</v>
      </c>
      <c r="W7" s="123" t="s">
        <v>26</v>
      </c>
    </row>
    <row r="8" spans="1:23" s="5" customFormat="1" ht="17.25" customHeight="1" x14ac:dyDescent="0.4">
      <c r="A8" s="35" t="s">
        <v>60</v>
      </c>
      <c r="B8" s="113">
        <v>13164</v>
      </c>
      <c r="C8" s="36" t="s">
        <v>61</v>
      </c>
      <c r="D8" s="111" t="s">
        <v>62</v>
      </c>
      <c r="E8" s="89">
        <v>6.6E-3</v>
      </c>
      <c r="F8" s="116">
        <v>2.1999999999999999E-2</v>
      </c>
      <c r="G8" s="90">
        <v>46037</v>
      </c>
      <c r="H8" s="90">
        <v>46051</v>
      </c>
      <c r="I8" s="91">
        <v>0.16164383561643836</v>
      </c>
      <c r="J8" s="92">
        <v>100</v>
      </c>
      <c r="K8" s="93">
        <v>14.7</v>
      </c>
      <c r="L8" s="94">
        <v>1.0340136054421769</v>
      </c>
      <c r="M8" s="95">
        <v>105.55</v>
      </c>
      <c r="N8" s="96">
        <v>2.0779605263157787E-2</v>
      </c>
      <c r="O8" s="97">
        <v>6209.9999999999973</v>
      </c>
      <c r="P8" s="98">
        <v>0.33500000000000002</v>
      </c>
      <c r="Q8" s="99">
        <v>4000</v>
      </c>
      <c r="R8" s="98">
        <v>0.32400000000000001</v>
      </c>
      <c r="S8" s="37" t="s">
        <v>27</v>
      </c>
      <c r="T8" s="38" t="s">
        <v>3</v>
      </c>
      <c r="U8" s="40"/>
      <c r="V8" s="124" t="str">
        <f t="shared" ref="V8:V49" si="0">A8</f>
        <v>上曜四</v>
      </c>
      <c r="W8" s="125">
        <v>3.0000000000000001E-3</v>
      </c>
    </row>
    <row r="9" spans="1:23" s="5" customFormat="1" ht="17.25" customHeight="1" x14ac:dyDescent="0.4">
      <c r="A9" s="35" t="s">
        <v>63</v>
      </c>
      <c r="B9" s="113">
        <v>13166</v>
      </c>
      <c r="C9" s="36" t="s">
        <v>64</v>
      </c>
      <c r="D9" s="111" t="s">
        <v>62</v>
      </c>
      <c r="E9" s="89">
        <v>2.3799999999999998E-2</v>
      </c>
      <c r="F9" s="116">
        <v>2.4E-2</v>
      </c>
      <c r="G9" s="90">
        <v>46370</v>
      </c>
      <c r="H9" s="90">
        <v>46383</v>
      </c>
      <c r="I9" s="91">
        <v>1.0712328767123287</v>
      </c>
      <c r="J9" s="92">
        <v>100.5</v>
      </c>
      <c r="K9" s="93">
        <v>17.399999999999999</v>
      </c>
      <c r="L9" s="94">
        <v>0.87356321839080464</v>
      </c>
      <c r="M9" s="95">
        <v>111</v>
      </c>
      <c r="N9" s="96">
        <v>0.27065789473684204</v>
      </c>
      <c r="O9" s="97">
        <v>13380</v>
      </c>
      <c r="P9" s="98">
        <v>1</v>
      </c>
      <c r="Q9" s="99">
        <v>4000</v>
      </c>
      <c r="R9" s="98">
        <v>0.32400000000000001</v>
      </c>
      <c r="S9" s="37" t="s">
        <v>27</v>
      </c>
      <c r="T9" s="38"/>
      <c r="U9" s="40"/>
      <c r="V9" s="124" t="str">
        <f t="shared" si="0"/>
        <v>上曜六</v>
      </c>
      <c r="W9" s="125">
        <v>3.0000000000000001E-3</v>
      </c>
    </row>
    <row r="10" spans="1:23" s="5" customFormat="1" ht="17.25" customHeight="1" x14ac:dyDescent="0.4">
      <c r="A10" s="35" t="s">
        <v>65</v>
      </c>
      <c r="B10" s="113">
        <v>14664</v>
      </c>
      <c r="C10" s="36" t="s">
        <v>66</v>
      </c>
      <c r="D10" s="111" t="s">
        <v>67</v>
      </c>
      <c r="E10" s="89">
        <v>5.9200000000000003E-2</v>
      </c>
      <c r="F10" s="116">
        <v>2.1999999999999999E-2</v>
      </c>
      <c r="G10" s="90">
        <v>46910</v>
      </c>
      <c r="H10" s="90">
        <v>46924</v>
      </c>
      <c r="I10" s="91">
        <v>2.5534246575342467</v>
      </c>
      <c r="J10" s="92">
        <v>100</v>
      </c>
      <c r="K10" s="93">
        <v>18.8</v>
      </c>
      <c r="L10" s="94">
        <v>0.76595744680851074</v>
      </c>
      <c r="M10" s="95">
        <v>106.4</v>
      </c>
      <c r="N10" s="96">
        <v>0.38911111111111107</v>
      </c>
      <c r="O10" s="97">
        <v>12320.000000000005</v>
      </c>
      <c r="P10" s="98">
        <v>1</v>
      </c>
      <c r="Q10" s="99">
        <v>4000</v>
      </c>
      <c r="R10" s="98">
        <v>0.435</v>
      </c>
      <c r="S10" s="37" t="s">
        <v>27</v>
      </c>
      <c r="T10" s="38"/>
      <c r="U10" s="40"/>
      <c r="V10" s="124" t="str">
        <f t="shared" si="0"/>
        <v>聚隆四</v>
      </c>
      <c r="W10" s="125">
        <v>3.0000000000000001E-3</v>
      </c>
    </row>
    <row r="11" spans="1:23" s="5" customFormat="1" ht="17.25" customHeight="1" x14ac:dyDescent="0.4">
      <c r="A11" s="35" t="s">
        <v>68</v>
      </c>
      <c r="B11" s="113">
        <v>14722</v>
      </c>
      <c r="C11" s="36" t="s">
        <v>66</v>
      </c>
      <c r="D11" s="111" t="s">
        <v>69</v>
      </c>
      <c r="E11" s="89">
        <v>2.58E-2</v>
      </c>
      <c r="F11" s="116">
        <v>2.1999999999999999E-2</v>
      </c>
      <c r="G11" s="90">
        <v>46524</v>
      </c>
      <c r="H11" s="90">
        <v>46536</v>
      </c>
      <c r="I11" s="91">
        <v>1.4904109589041097</v>
      </c>
      <c r="J11" s="92">
        <v>101.0025</v>
      </c>
      <c r="K11" s="93">
        <v>98.6</v>
      </c>
      <c r="L11" s="94">
        <v>0.93204868154158216</v>
      </c>
      <c r="M11" s="95">
        <v>106</v>
      </c>
      <c r="N11" s="96">
        <v>0.13727965179542975</v>
      </c>
      <c r="O11" s="97">
        <v>8580</v>
      </c>
      <c r="P11" s="98">
        <v>1</v>
      </c>
      <c r="Q11" s="99">
        <v>3000</v>
      </c>
      <c r="R11" s="98">
        <v>0.123</v>
      </c>
      <c r="S11" s="37" t="s">
        <v>27</v>
      </c>
      <c r="T11" s="38"/>
      <c r="U11" s="40"/>
      <c r="V11" s="124" t="str">
        <f t="shared" si="0"/>
        <v>三洋實業二</v>
      </c>
      <c r="W11" s="125">
        <v>3.0000000000000001E-3</v>
      </c>
    </row>
    <row r="12" spans="1:23" s="5" customFormat="1" ht="17.25" customHeight="1" x14ac:dyDescent="0.4">
      <c r="A12" s="35" t="s">
        <v>70</v>
      </c>
      <c r="B12" s="113">
        <v>15142</v>
      </c>
      <c r="C12" s="36" t="s">
        <v>71</v>
      </c>
      <c r="D12" s="111" t="s">
        <v>69</v>
      </c>
      <c r="E12" s="89">
        <v>6.4399999999999999E-2</v>
      </c>
      <c r="F12" s="116">
        <v>3.2500000000000001E-2</v>
      </c>
      <c r="G12" s="90">
        <v>46751</v>
      </c>
      <c r="H12" s="90">
        <v>46765</v>
      </c>
      <c r="I12" s="91">
        <v>2.117808219178082</v>
      </c>
      <c r="J12" s="92">
        <v>100.75190000000001</v>
      </c>
      <c r="K12" s="93">
        <v>109.2</v>
      </c>
      <c r="L12" s="94">
        <v>0.88553113553113549</v>
      </c>
      <c r="M12" s="95">
        <v>113</v>
      </c>
      <c r="N12" s="96">
        <v>0.27607032057911074</v>
      </c>
      <c r="O12" s="97">
        <v>19440</v>
      </c>
      <c r="P12" s="98">
        <v>1</v>
      </c>
      <c r="Q12" s="99">
        <v>12000</v>
      </c>
      <c r="R12" s="98">
        <v>0.52900000000000003</v>
      </c>
      <c r="S12" s="37" t="s">
        <v>28</v>
      </c>
      <c r="T12" s="38"/>
      <c r="U12" s="40"/>
      <c r="V12" s="124" t="str">
        <f t="shared" si="0"/>
        <v>亞力二</v>
      </c>
      <c r="W12" s="125">
        <v>3.0000000000000001E-3</v>
      </c>
    </row>
    <row r="13" spans="1:23" s="5" customFormat="1" ht="17.25" customHeight="1" x14ac:dyDescent="0.4">
      <c r="A13" s="35" t="s">
        <v>72</v>
      </c>
      <c r="B13" s="113">
        <v>15601</v>
      </c>
      <c r="C13" s="36" t="s">
        <v>71</v>
      </c>
      <c r="D13" s="111" t="s">
        <v>73</v>
      </c>
      <c r="E13" s="89">
        <v>4.2100000000000005E-2</v>
      </c>
      <c r="F13" s="116">
        <v>2.5000000000000001E-2</v>
      </c>
      <c r="G13" s="90">
        <v>46548</v>
      </c>
      <c r="H13" s="90">
        <v>46562</v>
      </c>
      <c r="I13" s="91">
        <v>1.5616438356164384</v>
      </c>
      <c r="J13" s="92">
        <v>100</v>
      </c>
      <c r="K13" s="93">
        <v>284.60000000000002</v>
      </c>
      <c r="L13" s="94">
        <v>1.1261419536191144</v>
      </c>
      <c r="M13" s="95">
        <v>129</v>
      </c>
      <c r="N13" s="96">
        <v>0.14550390015600637</v>
      </c>
      <c r="O13" s="97">
        <v>33210</v>
      </c>
      <c r="P13" s="98">
        <v>1</v>
      </c>
      <c r="Q13" s="99">
        <v>10000</v>
      </c>
      <c r="R13" s="98">
        <v>0.29699999999999999</v>
      </c>
      <c r="S13" s="37" t="s">
        <v>27</v>
      </c>
      <c r="T13" s="38"/>
      <c r="U13" s="39"/>
      <c r="V13" s="124" t="str">
        <f t="shared" si="0"/>
        <v>中砂一</v>
      </c>
      <c r="W13" s="125">
        <v>3.0000000000000001E-3</v>
      </c>
    </row>
    <row r="14" spans="1:23" s="5" customFormat="1" ht="17.25" customHeight="1" x14ac:dyDescent="0.4">
      <c r="A14" s="35" t="s">
        <v>74</v>
      </c>
      <c r="B14" s="113">
        <v>15864</v>
      </c>
      <c r="C14" s="36" t="s">
        <v>75</v>
      </c>
      <c r="D14" s="111" t="s">
        <v>62</v>
      </c>
      <c r="E14" s="89">
        <v>1.9399999999999997E-2</v>
      </c>
      <c r="F14" s="116">
        <v>2.1999999999999999E-2</v>
      </c>
      <c r="G14" s="90">
        <v>46251</v>
      </c>
      <c r="H14" s="90">
        <v>46264</v>
      </c>
      <c r="I14" s="91">
        <v>0.74520547945205484</v>
      </c>
      <c r="J14" s="92">
        <v>100</v>
      </c>
      <c r="K14" s="93">
        <v>30.74</v>
      </c>
      <c r="L14" s="94">
        <v>0.87996096291476922</v>
      </c>
      <c r="M14" s="95">
        <v>109.5</v>
      </c>
      <c r="N14" s="96">
        <v>0.24437338262476874</v>
      </c>
      <c r="O14" s="97">
        <v>11440</v>
      </c>
      <c r="P14" s="98">
        <v>1</v>
      </c>
      <c r="Q14" s="99">
        <v>2000</v>
      </c>
      <c r="R14" s="98">
        <v>0.34599999999999997</v>
      </c>
      <c r="S14" s="37" t="s">
        <v>27</v>
      </c>
      <c r="T14" s="38"/>
      <c r="U14" s="40"/>
      <c r="V14" s="124" t="str">
        <f t="shared" si="0"/>
        <v>和勤四</v>
      </c>
      <c r="W14" s="125">
        <v>3.0000000000000001E-3</v>
      </c>
    </row>
    <row r="15" spans="1:23" s="5" customFormat="1" ht="17.25" customHeight="1" x14ac:dyDescent="0.4">
      <c r="A15" s="35" t="s">
        <v>76</v>
      </c>
      <c r="B15" s="113">
        <v>16095</v>
      </c>
      <c r="C15" s="36" t="s">
        <v>71</v>
      </c>
      <c r="D15" s="111" t="s">
        <v>77</v>
      </c>
      <c r="E15" s="89">
        <v>5.9600000000000007E-2</v>
      </c>
      <c r="F15" s="116">
        <v>3.5000000000000003E-2</v>
      </c>
      <c r="G15" s="90">
        <v>46646</v>
      </c>
      <c r="H15" s="90">
        <v>46660</v>
      </c>
      <c r="I15" s="91">
        <v>1.8301369863013699</v>
      </c>
      <c r="J15" s="92">
        <v>100.75</v>
      </c>
      <c r="K15" s="93">
        <v>51.3</v>
      </c>
      <c r="L15" s="94">
        <v>0.75438596491228083</v>
      </c>
      <c r="M15" s="95">
        <v>104.85</v>
      </c>
      <c r="N15" s="96">
        <v>0.38987209302325548</v>
      </c>
      <c r="O15" s="97">
        <v>10809.999999999995</v>
      </c>
      <c r="P15" s="98">
        <v>1</v>
      </c>
      <c r="Q15" s="99">
        <v>20000</v>
      </c>
      <c r="R15" s="98">
        <v>0.434</v>
      </c>
      <c r="S15" s="37" t="s">
        <v>28</v>
      </c>
      <c r="T15" s="38"/>
      <c r="U15" s="40"/>
      <c r="V15" s="124" t="str">
        <f t="shared" si="0"/>
        <v>大亞五</v>
      </c>
      <c r="W15" s="125">
        <v>3.0000000000000001E-3</v>
      </c>
    </row>
    <row r="16" spans="1:23" s="5" customFormat="1" ht="17.25" customHeight="1" x14ac:dyDescent="0.4">
      <c r="A16" s="35" t="s">
        <v>78</v>
      </c>
      <c r="B16" s="113">
        <v>17863</v>
      </c>
      <c r="C16" s="36" t="s">
        <v>71</v>
      </c>
      <c r="D16" s="111" t="s">
        <v>69</v>
      </c>
      <c r="E16" s="89">
        <v>5.3700000000000005E-2</v>
      </c>
      <c r="F16" s="116">
        <v>4.2500000000000003E-2</v>
      </c>
      <c r="G16" s="90">
        <v>46587</v>
      </c>
      <c r="H16" s="90">
        <v>46600</v>
      </c>
      <c r="I16" s="91">
        <v>1.6657534246575343</v>
      </c>
      <c r="J16" s="92">
        <v>102.01</v>
      </c>
      <c r="K16" s="93">
        <v>116.5</v>
      </c>
      <c r="L16" s="94">
        <v>0.69613733905579389</v>
      </c>
      <c r="M16" s="95">
        <v>124</v>
      </c>
      <c r="N16" s="96">
        <v>0.78125770653514193</v>
      </c>
      <c r="O16" s="97">
        <v>29370</v>
      </c>
      <c r="P16" s="98">
        <v>1</v>
      </c>
      <c r="Q16" s="99">
        <v>4000</v>
      </c>
      <c r="R16" s="98">
        <v>0.38300000000000001</v>
      </c>
      <c r="S16" s="37" t="s">
        <v>28</v>
      </c>
      <c r="T16" s="38"/>
      <c r="U16" s="39"/>
      <c r="V16" s="124" t="str">
        <f t="shared" si="0"/>
        <v>科妍三</v>
      </c>
      <c r="W16" s="125">
        <v>3.0000000000000001E-3</v>
      </c>
    </row>
    <row r="17" spans="1:23" s="5" customFormat="1" ht="17.25" customHeight="1" x14ac:dyDescent="0.4">
      <c r="A17" s="35" t="s">
        <v>79</v>
      </c>
      <c r="B17" s="113">
        <v>22283</v>
      </c>
      <c r="C17" s="36" t="s">
        <v>71</v>
      </c>
      <c r="D17" s="111" t="s">
        <v>77</v>
      </c>
      <c r="E17" s="89">
        <v>5.1800000000000006E-2</v>
      </c>
      <c r="F17" s="116">
        <v>2.8000000000000001E-2</v>
      </c>
      <c r="G17" s="90">
        <v>46615</v>
      </c>
      <c r="H17" s="90">
        <v>46628</v>
      </c>
      <c r="I17" s="91">
        <v>1.7424657534246575</v>
      </c>
      <c r="J17" s="92">
        <v>100</v>
      </c>
      <c r="K17" s="93">
        <v>85.36</v>
      </c>
      <c r="L17" s="94">
        <v>1.2417994376757264</v>
      </c>
      <c r="M17" s="95">
        <v>127.7</v>
      </c>
      <c r="N17" s="96">
        <v>2.8346415094339609E-2</v>
      </c>
      <c r="O17" s="97">
        <v>32880.000000000007</v>
      </c>
      <c r="P17" s="98">
        <v>0.92900000000000005</v>
      </c>
      <c r="Q17" s="99">
        <v>3000</v>
      </c>
      <c r="R17" s="98">
        <v>0.307</v>
      </c>
      <c r="S17" s="37" t="s">
        <v>27</v>
      </c>
      <c r="T17" s="38"/>
      <c r="U17" s="40"/>
      <c r="V17" s="124" t="str">
        <f t="shared" si="0"/>
        <v>劍麟三</v>
      </c>
      <c r="W17" s="125">
        <v>3.0000000000000001E-3</v>
      </c>
    </row>
    <row r="18" spans="1:23" s="5" customFormat="1" ht="17.25" customHeight="1" x14ac:dyDescent="0.4">
      <c r="A18" s="35" t="s">
        <v>80</v>
      </c>
      <c r="B18" s="113">
        <v>22471</v>
      </c>
      <c r="C18" s="36" t="s">
        <v>71</v>
      </c>
      <c r="D18" s="111" t="s">
        <v>73</v>
      </c>
      <c r="E18" s="89">
        <v>7.2400000000000006E-2</v>
      </c>
      <c r="F18" s="116">
        <v>2.7E-2</v>
      </c>
      <c r="G18" s="90">
        <v>46916</v>
      </c>
      <c r="H18" s="90">
        <v>46930</v>
      </c>
      <c r="I18" s="91">
        <v>2.56986301369863</v>
      </c>
      <c r="J18" s="92">
        <v>100</v>
      </c>
      <c r="K18" s="93">
        <v>289.39999999999998</v>
      </c>
      <c r="L18" s="94">
        <v>1.0245335176226678</v>
      </c>
      <c r="M18" s="95">
        <v>106.5</v>
      </c>
      <c r="N18" s="96">
        <v>3.9497470489038601E-2</v>
      </c>
      <c r="O18" s="97">
        <v>13740.000000000002</v>
      </c>
      <c r="P18" s="98">
        <v>1</v>
      </c>
      <c r="Q18" s="99">
        <v>10000</v>
      </c>
      <c r="R18" s="98">
        <v>0.104</v>
      </c>
      <c r="S18" s="37" t="s">
        <v>27</v>
      </c>
      <c r="T18" s="38" t="s">
        <v>3</v>
      </c>
      <c r="U18" s="40"/>
      <c r="V18" s="124" t="str">
        <f t="shared" si="0"/>
        <v>汎德永業一</v>
      </c>
      <c r="W18" s="125">
        <v>3.0000000000000001E-3</v>
      </c>
    </row>
    <row r="19" spans="1:23" s="5" customFormat="1" ht="17.25" customHeight="1" x14ac:dyDescent="0.4">
      <c r="A19" s="35" t="s">
        <v>81</v>
      </c>
      <c r="B19" s="113">
        <v>22472</v>
      </c>
      <c r="C19" s="36" t="s">
        <v>71</v>
      </c>
      <c r="D19" s="111" t="s">
        <v>73</v>
      </c>
      <c r="E19" s="89">
        <v>7.2700000000000001E-2</v>
      </c>
      <c r="F19" s="116">
        <v>2.7E-2</v>
      </c>
      <c r="G19" s="90">
        <v>46920</v>
      </c>
      <c r="H19" s="90">
        <v>46934</v>
      </c>
      <c r="I19" s="91">
        <v>2.580821917808219</v>
      </c>
      <c r="J19" s="92">
        <v>100</v>
      </c>
      <c r="K19" s="93">
        <v>280.2</v>
      </c>
      <c r="L19" s="94">
        <v>1.0581727337615989</v>
      </c>
      <c r="M19" s="95">
        <v>109.95</v>
      </c>
      <c r="N19" s="96">
        <v>3.9055311973018543E-2</v>
      </c>
      <c r="O19" s="97">
        <v>17220.000000000004</v>
      </c>
      <c r="P19" s="98">
        <v>1</v>
      </c>
      <c r="Q19" s="99">
        <v>10000</v>
      </c>
      <c r="R19" s="98">
        <v>0.104</v>
      </c>
      <c r="S19" s="37" t="s">
        <v>27</v>
      </c>
      <c r="T19" s="38"/>
      <c r="U19" s="40"/>
      <c r="V19" s="124" t="str">
        <f t="shared" si="0"/>
        <v>汎德永業二</v>
      </c>
      <c r="W19" s="125">
        <v>3.0000000000000001E-3</v>
      </c>
    </row>
    <row r="20" spans="1:23" s="5" customFormat="1" ht="18" customHeight="1" x14ac:dyDescent="0.4">
      <c r="A20" s="35" t="s">
        <v>82</v>
      </c>
      <c r="B20" s="113">
        <v>23511</v>
      </c>
      <c r="C20" s="36" t="s">
        <v>71</v>
      </c>
      <c r="D20" s="111" t="s">
        <v>77</v>
      </c>
      <c r="E20" s="89">
        <v>8.5800000000000001E-2</v>
      </c>
      <c r="F20" s="116">
        <v>3.2500000000000001E-2</v>
      </c>
      <c r="G20" s="90">
        <v>46909</v>
      </c>
      <c r="H20" s="90">
        <v>46921</v>
      </c>
      <c r="I20" s="91">
        <v>2.5452054794520547</v>
      </c>
      <c r="J20" s="92">
        <v>100</v>
      </c>
      <c r="K20" s="93">
        <v>72.400000000000006</v>
      </c>
      <c r="L20" s="94">
        <v>1.1132596685082872</v>
      </c>
      <c r="M20" s="95">
        <v>125.95</v>
      </c>
      <c r="N20" s="96">
        <v>0.13136228287841203</v>
      </c>
      <c r="O20" s="97">
        <v>34530</v>
      </c>
      <c r="P20" s="98">
        <v>1</v>
      </c>
      <c r="Q20" s="99">
        <v>12000</v>
      </c>
      <c r="R20" s="98">
        <v>0.54600000000000004</v>
      </c>
      <c r="S20" s="37" t="s">
        <v>27</v>
      </c>
      <c r="T20" s="38"/>
      <c r="U20" s="40"/>
      <c r="V20" s="124" t="str">
        <f t="shared" si="0"/>
        <v>順德一</v>
      </c>
      <c r="W20" s="125">
        <v>3.0000000000000001E-3</v>
      </c>
    </row>
    <row r="21" spans="1:23" s="5" customFormat="1" ht="18" customHeight="1" x14ac:dyDescent="0.4">
      <c r="A21" s="41" t="s">
        <v>83</v>
      </c>
      <c r="B21" s="114">
        <v>23683</v>
      </c>
      <c r="C21" s="42" t="s">
        <v>71</v>
      </c>
      <c r="D21" s="112" t="s">
        <v>84</v>
      </c>
      <c r="E21" s="100">
        <v>7.4700000000000003E-2</v>
      </c>
      <c r="F21" s="117">
        <v>2.4E-2</v>
      </c>
      <c r="G21" s="101">
        <v>47067</v>
      </c>
      <c r="H21" s="101">
        <v>47081</v>
      </c>
      <c r="I21" s="102">
        <v>2.9835616438356163</v>
      </c>
      <c r="J21" s="103">
        <v>100</v>
      </c>
      <c r="K21" s="104">
        <v>450</v>
      </c>
      <c r="L21" s="105">
        <v>1.406666666666667</v>
      </c>
      <c r="M21" s="106">
        <v>148.19999999999999</v>
      </c>
      <c r="N21" s="107">
        <v>5.3554502369668022E-2</v>
      </c>
      <c r="O21" s="108">
        <v>55669.999999999985</v>
      </c>
      <c r="P21" s="109">
        <v>1</v>
      </c>
      <c r="Q21" s="110">
        <v>90000</v>
      </c>
      <c r="R21" s="109">
        <v>0.72099999999999997</v>
      </c>
      <c r="S21" s="43" t="s">
        <v>28</v>
      </c>
      <c r="T21" s="44" t="s">
        <v>30</v>
      </c>
      <c r="U21" s="45" t="s">
        <v>31</v>
      </c>
      <c r="V21" s="124" t="str">
        <f t="shared" si="0"/>
        <v>金像電三</v>
      </c>
      <c r="W21" s="125">
        <v>3.0000000000000001E-3</v>
      </c>
    </row>
    <row r="22" spans="1:23" s="5" customFormat="1" ht="17.25" customHeight="1" x14ac:dyDescent="0.4">
      <c r="A22" s="35" t="s">
        <v>85</v>
      </c>
      <c r="B22" s="113">
        <v>24023</v>
      </c>
      <c r="C22" s="36" t="s">
        <v>71</v>
      </c>
      <c r="D22" s="111" t="s">
        <v>77</v>
      </c>
      <c r="E22" s="89">
        <v>6.7000000000000004E-2</v>
      </c>
      <c r="F22" s="116">
        <v>3.2500000000000001E-2</v>
      </c>
      <c r="G22" s="90">
        <v>46696</v>
      </c>
      <c r="H22" s="90">
        <v>46710</v>
      </c>
      <c r="I22" s="91">
        <v>1.9671232876712328</v>
      </c>
      <c r="J22" s="92">
        <v>100</v>
      </c>
      <c r="K22" s="93">
        <v>55</v>
      </c>
      <c r="L22" s="94">
        <v>0.8927272727272727</v>
      </c>
      <c r="M22" s="95">
        <v>111</v>
      </c>
      <c r="N22" s="96">
        <v>0.24338085539714877</v>
      </c>
      <c r="O22" s="97">
        <v>17700</v>
      </c>
      <c r="P22" s="98">
        <v>1</v>
      </c>
      <c r="Q22" s="99">
        <v>10000</v>
      </c>
      <c r="R22" s="98">
        <v>0.47799999999999998</v>
      </c>
      <c r="S22" s="37" t="s">
        <v>28</v>
      </c>
      <c r="T22" s="38"/>
      <c r="U22" s="40"/>
      <c r="V22" s="124" t="str">
        <f t="shared" si="0"/>
        <v>毅嘉三</v>
      </c>
      <c r="W22" s="125">
        <v>3.0000000000000001E-3</v>
      </c>
    </row>
    <row r="23" spans="1:23" s="5" customFormat="1" ht="17.25" customHeight="1" x14ac:dyDescent="0.4">
      <c r="A23" s="35" t="s">
        <v>86</v>
      </c>
      <c r="B23" s="113">
        <v>24361</v>
      </c>
      <c r="C23" s="36" t="s">
        <v>71</v>
      </c>
      <c r="D23" s="111" t="s">
        <v>77</v>
      </c>
      <c r="E23" s="89">
        <v>3.0299999999999997E-2</v>
      </c>
      <c r="F23" s="116">
        <v>3.5000000000000003E-2</v>
      </c>
      <c r="G23" s="90">
        <v>46262</v>
      </c>
      <c r="H23" s="90">
        <v>46276</v>
      </c>
      <c r="I23" s="91">
        <v>0.77808219178082194</v>
      </c>
      <c r="J23" s="92">
        <v>100</v>
      </c>
      <c r="K23" s="93">
        <v>53.3</v>
      </c>
      <c r="L23" s="94">
        <v>0.88180112570356473</v>
      </c>
      <c r="M23" s="95">
        <v>108</v>
      </c>
      <c r="N23" s="96">
        <v>0.22476595744680855</v>
      </c>
      <c r="O23" s="97">
        <v>11030</v>
      </c>
      <c r="P23" s="98">
        <v>0.99990909090909086</v>
      </c>
      <c r="Q23" s="99">
        <v>11000</v>
      </c>
      <c r="R23" s="98">
        <v>0.30399999999999999</v>
      </c>
      <c r="S23" s="37" t="s">
        <v>28</v>
      </c>
      <c r="T23" s="38"/>
      <c r="U23" s="40"/>
      <c r="V23" s="124" t="str">
        <f t="shared" si="0"/>
        <v>偉詮電一</v>
      </c>
      <c r="W23" s="125">
        <v>3.0000000000000001E-3</v>
      </c>
    </row>
    <row r="24" spans="1:23" s="5" customFormat="1" ht="17.25" customHeight="1" x14ac:dyDescent="0.4">
      <c r="A24" s="35" t="s">
        <v>87</v>
      </c>
      <c r="B24" s="113">
        <v>24394</v>
      </c>
      <c r="C24" s="36" t="s">
        <v>71</v>
      </c>
      <c r="D24" s="111" t="s">
        <v>84</v>
      </c>
      <c r="E24" s="89">
        <v>4.3200000000000002E-2</v>
      </c>
      <c r="F24" s="116">
        <v>2.5000000000000001E-2</v>
      </c>
      <c r="G24" s="90">
        <v>46566</v>
      </c>
      <c r="H24" s="90">
        <v>46578</v>
      </c>
      <c r="I24" s="91">
        <v>1.6054794520547946</v>
      </c>
      <c r="J24" s="92">
        <v>100</v>
      </c>
      <c r="K24" s="93">
        <v>128.9</v>
      </c>
      <c r="L24" s="94">
        <v>0.79906904577191606</v>
      </c>
      <c r="M24" s="95">
        <v>106.65</v>
      </c>
      <c r="N24" s="96">
        <v>0.33467815533980605</v>
      </c>
      <c r="O24" s="97">
        <v>10970.000000000005</v>
      </c>
      <c r="P24" s="98">
        <v>1</v>
      </c>
      <c r="Q24" s="99">
        <v>25000</v>
      </c>
      <c r="R24" s="98">
        <v>0.254</v>
      </c>
      <c r="S24" s="37" t="s">
        <v>27</v>
      </c>
      <c r="T24" s="38"/>
      <c r="U24" s="40"/>
      <c r="V24" s="124" t="str">
        <f t="shared" si="0"/>
        <v>美律四</v>
      </c>
      <c r="W24" s="125">
        <v>3.0000000000000001E-3</v>
      </c>
    </row>
    <row r="25" spans="1:23" s="5" customFormat="1" ht="15.75" customHeight="1" x14ac:dyDescent="0.4">
      <c r="A25" s="35" t="s">
        <v>32</v>
      </c>
      <c r="B25" s="113">
        <v>24395</v>
      </c>
      <c r="C25" s="36" t="s">
        <v>71</v>
      </c>
      <c r="D25" s="111" t="s">
        <v>84</v>
      </c>
      <c r="E25" s="89">
        <v>4.4000000000000004E-2</v>
      </c>
      <c r="F25" s="116">
        <v>2.5000000000000001E-2</v>
      </c>
      <c r="G25" s="90">
        <v>46576</v>
      </c>
      <c r="H25" s="90">
        <v>46590</v>
      </c>
      <c r="I25" s="91">
        <v>1.6383561643835616</v>
      </c>
      <c r="J25" s="92">
        <v>100</v>
      </c>
      <c r="K25" s="93">
        <v>125.2</v>
      </c>
      <c r="L25" s="94">
        <v>0.82268370607028762</v>
      </c>
      <c r="M25" s="95">
        <v>106</v>
      </c>
      <c r="N25" s="96">
        <v>0.28846601941747568</v>
      </c>
      <c r="O25" s="97">
        <v>10400.000000000002</v>
      </c>
      <c r="P25" s="98">
        <v>1</v>
      </c>
      <c r="Q25" s="99">
        <v>5000</v>
      </c>
      <c r="R25" s="98">
        <v>0.254</v>
      </c>
      <c r="S25" s="37" t="s">
        <v>27</v>
      </c>
      <c r="T25" s="38"/>
      <c r="U25" s="40"/>
      <c r="V25" s="124" t="str">
        <f t="shared" si="0"/>
        <v>美律五</v>
      </c>
      <c r="W25" s="125">
        <v>3.0000000000000001E-3</v>
      </c>
    </row>
    <row r="26" spans="1:23" s="5" customFormat="1" ht="17.25" customHeight="1" x14ac:dyDescent="0.4">
      <c r="A26" s="35" t="s">
        <v>88</v>
      </c>
      <c r="B26" s="113">
        <v>24616</v>
      </c>
      <c r="C26" s="36" t="s">
        <v>66</v>
      </c>
      <c r="D26" s="111" t="s">
        <v>69</v>
      </c>
      <c r="E26" s="89">
        <v>9.8999999999999991E-3</v>
      </c>
      <c r="F26" s="116">
        <v>2.1999999999999999E-2</v>
      </c>
      <c r="G26" s="90">
        <v>46091</v>
      </c>
      <c r="H26" s="90">
        <v>46105</v>
      </c>
      <c r="I26" s="91">
        <v>0.30958904109589042</v>
      </c>
      <c r="J26" s="92">
        <v>100</v>
      </c>
      <c r="K26" s="93">
        <v>14.5</v>
      </c>
      <c r="L26" s="94">
        <v>1.0586206896551724</v>
      </c>
      <c r="M26" s="95">
        <v>140</v>
      </c>
      <c r="N26" s="96">
        <v>0.32247557003257332</v>
      </c>
      <c r="O26" s="97">
        <v>40990.000000000007</v>
      </c>
      <c r="P26" s="98">
        <v>0.42683333333333334</v>
      </c>
      <c r="Q26" s="99">
        <v>6000</v>
      </c>
      <c r="R26" s="98">
        <v>0.153</v>
      </c>
      <c r="S26" s="37" t="s">
        <v>27</v>
      </c>
      <c r="T26" s="38"/>
      <c r="U26" s="40"/>
      <c r="V26" s="124" t="str">
        <f t="shared" si="0"/>
        <v>光群雷六</v>
      </c>
      <c r="W26" s="125">
        <v>3.0000000000000001E-3</v>
      </c>
    </row>
    <row r="27" spans="1:23" s="5" customFormat="1" ht="17.25" customHeight="1" x14ac:dyDescent="0.4">
      <c r="A27" s="35" t="s">
        <v>89</v>
      </c>
      <c r="B27" s="113">
        <v>24624</v>
      </c>
      <c r="C27" s="36" t="s">
        <v>71</v>
      </c>
      <c r="D27" s="111" t="s">
        <v>69</v>
      </c>
      <c r="E27" s="89">
        <v>2.8999999999999998E-2</v>
      </c>
      <c r="F27" s="116">
        <v>3.7499999999999999E-2</v>
      </c>
      <c r="G27" s="90">
        <v>46231</v>
      </c>
      <c r="H27" s="90">
        <v>46245</v>
      </c>
      <c r="I27" s="91">
        <v>0.69315068493150689</v>
      </c>
      <c r="J27" s="92">
        <v>100</v>
      </c>
      <c r="K27" s="93">
        <v>30.09</v>
      </c>
      <c r="L27" s="94">
        <v>0.73113991359255559</v>
      </c>
      <c r="M27" s="95">
        <v>103.9</v>
      </c>
      <c r="N27" s="96">
        <v>0.42106863636363651</v>
      </c>
      <c r="O27" s="97">
        <v>6800.0000000000064</v>
      </c>
      <c r="P27" s="98">
        <v>0.61075000000000002</v>
      </c>
      <c r="Q27" s="99">
        <v>4000</v>
      </c>
      <c r="R27" s="98">
        <v>0.378</v>
      </c>
      <c r="S27" s="37" t="s">
        <v>28</v>
      </c>
      <c r="T27" s="38"/>
      <c r="U27" s="40"/>
      <c r="V27" s="124" t="str">
        <f t="shared" si="0"/>
        <v>良得電四</v>
      </c>
      <c r="W27" s="125">
        <v>3.0000000000000001E-3</v>
      </c>
    </row>
    <row r="28" spans="1:23" s="5" customFormat="1" ht="17.25" customHeight="1" x14ac:dyDescent="0.4">
      <c r="A28" s="35" t="s">
        <v>90</v>
      </c>
      <c r="B28" s="113">
        <v>24762</v>
      </c>
      <c r="C28" s="36" t="s">
        <v>71</v>
      </c>
      <c r="D28" s="111" t="s">
        <v>73</v>
      </c>
      <c r="E28" s="89">
        <v>3.3000000000000002E-2</v>
      </c>
      <c r="F28" s="116">
        <v>2.5999999999999999E-2</v>
      </c>
      <c r="G28" s="90">
        <v>46399</v>
      </c>
      <c r="H28" s="90">
        <v>46413</v>
      </c>
      <c r="I28" s="91">
        <v>1.1534246575342466</v>
      </c>
      <c r="J28" s="92">
        <v>100</v>
      </c>
      <c r="K28" s="93">
        <v>66.5</v>
      </c>
      <c r="L28" s="94">
        <v>1.3142857142857141</v>
      </c>
      <c r="M28" s="95">
        <v>134</v>
      </c>
      <c r="N28" s="96">
        <v>1.9565217391304443E-2</v>
      </c>
      <c r="O28" s="97">
        <v>37300</v>
      </c>
      <c r="P28" s="98">
        <v>0.38950000000000001</v>
      </c>
      <c r="Q28" s="99">
        <v>10000</v>
      </c>
      <c r="R28" s="98">
        <v>0.32100000000000001</v>
      </c>
      <c r="S28" s="37" t="s">
        <v>28</v>
      </c>
      <c r="T28" s="38"/>
      <c r="U28" s="40"/>
      <c r="V28" s="124" t="str">
        <f t="shared" si="0"/>
        <v>鉅祥二</v>
      </c>
      <c r="W28" s="125">
        <v>3.0000000000000001E-3</v>
      </c>
    </row>
    <row r="29" spans="1:23" s="5" customFormat="1" ht="17.25" customHeight="1" x14ac:dyDescent="0.4">
      <c r="A29" s="35" t="s">
        <v>91</v>
      </c>
      <c r="B29" s="113">
        <v>25283</v>
      </c>
      <c r="C29" s="36" t="s">
        <v>92</v>
      </c>
      <c r="D29" s="111" t="s">
        <v>62</v>
      </c>
      <c r="E29" s="89">
        <v>4.1300000000000003E-2</v>
      </c>
      <c r="F29" s="116">
        <v>2.1999999999999999E-2</v>
      </c>
      <c r="G29" s="90">
        <v>46738</v>
      </c>
      <c r="H29" s="90">
        <v>46752</v>
      </c>
      <c r="I29" s="91">
        <v>2.0821917808219177</v>
      </c>
      <c r="J29" s="92">
        <v>100.752</v>
      </c>
      <c r="K29" s="93">
        <v>42.4</v>
      </c>
      <c r="L29" s="94">
        <v>0.71580188679245293</v>
      </c>
      <c r="M29" s="95">
        <v>108.95</v>
      </c>
      <c r="N29" s="96">
        <v>0.52206919275123531</v>
      </c>
      <c r="O29" s="97">
        <v>13080.000000000004</v>
      </c>
      <c r="P29" s="98">
        <v>1</v>
      </c>
      <c r="Q29" s="99">
        <v>6000</v>
      </c>
      <c r="R29" s="98">
        <v>0.30399999999999999</v>
      </c>
      <c r="S29" s="37" t="s">
        <v>27</v>
      </c>
      <c r="T29" s="38"/>
      <c r="U29" s="40"/>
      <c r="V29" s="124" t="str">
        <f t="shared" si="0"/>
        <v>皇普三</v>
      </c>
      <c r="W29" s="125">
        <v>3.0000000000000001E-3</v>
      </c>
    </row>
    <row r="30" spans="1:23" s="5" customFormat="1" ht="17.25" customHeight="1" x14ac:dyDescent="0.4">
      <c r="A30" s="35" t="s">
        <v>93</v>
      </c>
      <c r="B30" s="113">
        <v>26107</v>
      </c>
      <c r="C30" s="36" t="s">
        <v>71</v>
      </c>
      <c r="D30" s="111" t="s">
        <v>73</v>
      </c>
      <c r="E30" s="89">
        <v>1.32E-2</v>
      </c>
      <c r="F30" s="116">
        <v>2.5000000000000001E-2</v>
      </c>
      <c r="G30" s="90">
        <v>46126</v>
      </c>
      <c r="H30" s="90">
        <v>46140</v>
      </c>
      <c r="I30" s="91">
        <v>0.40547945205479452</v>
      </c>
      <c r="J30" s="92">
        <v>100</v>
      </c>
      <c r="K30" s="93">
        <v>16.899999999999999</v>
      </c>
      <c r="L30" s="94">
        <v>1.1420118343195267</v>
      </c>
      <c r="M30" s="95">
        <v>117.65</v>
      </c>
      <c r="N30" s="96">
        <v>3.0199481865284948E-2</v>
      </c>
      <c r="O30" s="97">
        <v>18970.000000000004</v>
      </c>
      <c r="P30" s="98">
        <v>0.22997777777777778</v>
      </c>
      <c r="Q30" s="99">
        <v>45000</v>
      </c>
      <c r="R30" s="98">
        <v>0.151</v>
      </c>
      <c r="S30" s="37" t="s">
        <v>28</v>
      </c>
      <c r="T30" s="38"/>
      <c r="U30" s="40"/>
      <c r="V30" s="124" t="str">
        <f t="shared" si="0"/>
        <v>華航七</v>
      </c>
      <c r="W30" s="125">
        <v>3.0000000000000001E-3</v>
      </c>
    </row>
    <row r="31" spans="1:23" s="5" customFormat="1" ht="17.25" customHeight="1" x14ac:dyDescent="0.4">
      <c r="A31" s="35" t="s">
        <v>94</v>
      </c>
      <c r="B31" s="113">
        <v>27271</v>
      </c>
      <c r="C31" s="36" t="s">
        <v>71</v>
      </c>
      <c r="D31" s="111" t="s">
        <v>73</v>
      </c>
      <c r="E31" s="89">
        <v>4.5999999999999999E-3</v>
      </c>
      <c r="F31" s="116">
        <v>2.8000000000000001E-2</v>
      </c>
      <c r="G31" s="90">
        <v>46097</v>
      </c>
      <c r="H31" s="90">
        <v>46110</v>
      </c>
      <c r="I31" s="91">
        <v>0.32328767123287672</v>
      </c>
      <c r="J31" s="92">
        <v>100.75190000000001</v>
      </c>
      <c r="K31" s="93">
        <v>233.4</v>
      </c>
      <c r="L31" s="94">
        <v>0.92116538131962289</v>
      </c>
      <c r="M31" s="95">
        <v>107.8</v>
      </c>
      <c r="N31" s="96">
        <v>0.17025674418604661</v>
      </c>
      <c r="O31" s="97">
        <v>8259.9999999999982</v>
      </c>
      <c r="P31" s="98">
        <v>0.99985714285714289</v>
      </c>
      <c r="Q31" s="99">
        <v>7000</v>
      </c>
      <c r="R31" s="98">
        <v>0.16800000000000001</v>
      </c>
      <c r="S31" s="37" t="s">
        <v>28</v>
      </c>
      <c r="T31" s="38"/>
      <c r="U31" s="40"/>
      <c r="V31" s="124" t="str">
        <f t="shared" si="0"/>
        <v>王品一</v>
      </c>
      <c r="W31" s="125">
        <v>3.0000000000000001E-3</v>
      </c>
    </row>
    <row r="32" spans="1:23" s="5" customFormat="1" ht="17.25" customHeight="1" x14ac:dyDescent="0.4">
      <c r="A32" s="35" t="s">
        <v>95</v>
      </c>
      <c r="B32" s="113">
        <v>27431</v>
      </c>
      <c r="C32" s="36" t="s">
        <v>71</v>
      </c>
      <c r="D32" s="111" t="s">
        <v>73</v>
      </c>
      <c r="E32" s="89">
        <v>4.5200000000000004E-2</v>
      </c>
      <c r="F32" s="116">
        <v>0.03</v>
      </c>
      <c r="G32" s="90">
        <v>46615</v>
      </c>
      <c r="H32" s="90">
        <v>46627</v>
      </c>
      <c r="I32" s="91">
        <v>1.7397260273972603</v>
      </c>
      <c r="J32" s="92">
        <v>101.0025</v>
      </c>
      <c r="K32" s="93">
        <v>101.9</v>
      </c>
      <c r="L32" s="94">
        <v>0.81550539744847883</v>
      </c>
      <c r="M32" s="95">
        <v>104</v>
      </c>
      <c r="N32" s="96">
        <v>0.27528279181708798</v>
      </c>
      <c r="O32" s="97">
        <v>8520</v>
      </c>
      <c r="P32" s="98">
        <v>1</v>
      </c>
      <c r="Q32" s="99">
        <v>3000</v>
      </c>
      <c r="R32" s="98">
        <v>0.25</v>
      </c>
      <c r="S32" s="37" t="s">
        <v>28</v>
      </c>
      <c r="T32" s="38"/>
      <c r="U32" s="40"/>
      <c r="V32" s="124" t="str">
        <f t="shared" si="0"/>
        <v>山富一</v>
      </c>
      <c r="W32" s="125">
        <v>3.0000000000000001E-3</v>
      </c>
    </row>
    <row r="33" spans="1:23" s="5" customFormat="1" ht="17.149999999999999" customHeight="1" x14ac:dyDescent="0.4">
      <c r="A33" s="35" t="s">
        <v>96</v>
      </c>
      <c r="B33" s="113">
        <v>27531</v>
      </c>
      <c r="C33" s="36" t="s">
        <v>71</v>
      </c>
      <c r="D33" s="111" t="s">
        <v>73</v>
      </c>
      <c r="E33" s="89">
        <v>8.0200000000000007E-2</v>
      </c>
      <c r="F33" s="116">
        <v>2.7E-2</v>
      </c>
      <c r="G33" s="90">
        <v>47021</v>
      </c>
      <c r="H33" s="90">
        <v>47035</v>
      </c>
      <c r="I33" s="91">
        <v>2.8575342465753426</v>
      </c>
      <c r="J33" s="92">
        <v>100</v>
      </c>
      <c r="K33" s="93">
        <v>212</v>
      </c>
      <c r="L33" s="94">
        <v>0.91509433962264153</v>
      </c>
      <c r="M33" s="95">
        <v>110.5</v>
      </c>
      <c r="N33" s="96">
        <v>0.20752577319587626</v>
      </c>
      <c r="O33" s="97">
        <v>18520</v>
      </c>
      <c r="P33" s="98">
        <v>1</v>
      </c>
      <c r="Q33" s="99">
        <v>8000</v>
      </c>
      <c r="R33" s="98">
        <v>0.41099999999999998</v>
      </c>
      <c r="S33" s="37" t="s">
        <v>28</v>
      </c>
      <c r="T33" s="38"/>
      <c r="U33" s="39"/>
      <c r="V33" s="124" t="str">
        <f t="shared" si="0"/>
        <v>八方雲集一</v>
      </c>
      <c r="W33" s="125">
        <v>3.0000000000000001E-3</v>
      </c>
    </row>
    <row r="34" spans="1:23" s="5" customFormat="1" ht="17.149999999999999" customHeight="1" x14ac:dyDescent="0.4">
      <c r="A34" s="35" t="s">
        <v>97</v>
      </c>
      <c r="B34" s="113">
        <v>27532</v>
      </c>
      <c r="C34" s="36" t="s">
        <v>71</v>
      </c>
      <c r="D34" s="111" t="s">
        <v>73</v>
      </c>
      <c r="E34" s="89">
        <v>8.1000000000000003E-2</v>
      </c>
      <c r="F34" s="116">
        <v>2.7E-2</v>
      </c>
      <c r="G34" s="90">
        <v>47032</v>
      </c>
      <c r="H34" s="90">
        <v>47046</v>
      </c>
      <c r="I34" s="91">
        <v>2.8876712328767122</v>
      </c>
      <c r="J34" s="92">
        <v>100</v>
      </c>
      <c r="K34" s="93">
        <v>210</v>
      </c>
      <c r="L34" s="94">
        <v>0.92380952380952375</v>
      </c>
      <c r="M34" s="95">
        <v>111</v>
      </c>
      <c r="N34" s="96">
        <v>0.20154639175257733</v>
      </c>
      <c r="O34" s="97">
        <v>19100</v>
      </c>
      <c r="P34" s="98">
        <v>1</v>
      </c>
      <c r="Q34" s="99">
        <v>2000</v>
      </c>
      <c r="R34" s="98">
        <v>0.41099999999999998</v>
      </c>
      <c r="S34" s="37" t="s">
        <v>28</v>
      </c>
      <c r="T34" s="38"/>
      <c r="U34" s="39"/>
      <c r="V34" s="124" t="str">
        <f t="shared" si="0"/>
        <v>八方雲集二</v>
      </c>
      <c r="W34" s="125">
        <v>3.0000000000000001E-3</v>
      </c>
    </row>
    <row r="35" spans="1:23" s="5" customFormat="1" ht="17.25" customHeight="1" x14ac:dyDescent="0.4">
      <c r="A35" s="35" t="s">
        <v>98</v>
      </c>
      <c r="B35" s="113">
        <v>27551</v>
      </c>
      <c r="C35" s="36" t="s">
        <v>71</v>
      </c>
      <c r="D35" s="111" t="s">
        <v>77</v>
      </c>
      <c r="E35" s="89">
        <v>7.740000000000001E-2</v>
      </c>
      <c r="F35" s="116">
        <v>3.5000000000000003E-2</v>
      </c>
      <c r="G35" s="90">
        <v>46755</v>
      </c>
      <c r="H35" s="90">
        <v>46767</v>
      </c>
      <c r="I35" s="91">
        <v>2.1232876712328768</v>
      </c>
      <c r="J35" s="92">
        <v>100</v>
      </c>
      <c r="K35" s="93">
        <v>86.7</v>
      </c>
      <c r="L35" s="94">
        <v>1.4244521337946943</v>
      </c>
      <c r="M35" s="95">
        <v>136</v>
      </c>
      <c r="N35" s="96">
        <v>-4.5246963562753047E-2</v>
      </c>
      <c r="O35" s="97">
        <v>43740</v>
      </c>
      <c r="P35" s="98">
        <v>0.60599999999999998</v>
      </c>
      <c r="Q35" s="99">
        <v>2000</v>
      </c>
      <c r="R35" s="98">
        <v>0.28999999999999998</v>
      </c>
      <c r="S35" s="37" t="s">
        <v>28</v>
      </c>
      <c r="T35" s="38"/>
      <c r="U35" s="40"/>
      <c r="V35" s="124" t="str">
        <f t="shared" si="0"/>
        <v>揚秦一</v>
      </c>
      <c r="W35" s="125">
        <v>3.0000000000000001E-3</v>
      </c>
    </row>
    <row r="36" spans="1:23" s="5" customFormat="1" ht="17.25" customHeight="1" x14ac:dyDescent="0.4">
      <c r="A36" s="35" t="s">
        <v>99</v>
      </c>
      <c r="B36" s="113">
        <v>27561</v>
      </c>
      <c r="C36" s="36" t="s">
        <v>71</v>
      </c>
      <c r="D36" s="111" t="s">
        <v>77</v>
      </c>
      <c r="E36" s="89">
        <v>1.2799999999999999E-2</v>
      </c>
      <c r="F36" s="116">
        <v>0.04</v>
      </c>
      <c r="G36" s="90">
        <v>46160</v>
      </c>
      <c r="H36" s="90">
        <v>46172</v>
      </c>
      <c r="I36" s="91">
        <v>0.49315068493150682</v>
      </c>
      <c r="J36" s="92">
        <v>101.0025</v>
      </c>
      <c r="K36" s="93">
        <v>90.1</v>
      </c>
      <c r="L36" s="94">
        <v>0.98779134295227533</v>
      </c>
      <c r="M36" s="95">
        <v>115</v>
      </c>
      <c r="N36" s="96">
        <v>0.16421348314606729</v>
      </c>
      <c r="O36" s="97">
        <v>16280</v>
      </c>
      <c r="P36" s="98">
        <v>0.98333333333333328</v>
      </c>
      <c r="Q36" s="99">
        <v>3000</v>
      </c>
      <c r="R36" s="98">
        <v>0.38600000000000001</v>
      </c>
      <c r="S36" s="37" t="s">
        <v>28</v>
      </c>
      <c r="T36" s="38"/>
      <c r="U36" s="40"/>
      <c r="V36" s="124" t="str">
        <f t="shared" si="0"/>
        <v>聯發國際一</v>
      </c>
      <c r="W36" s="125">
        <v>3.0000000000000001E-3</v>
      </c>
    </row>
    <row r="37" spans="1:23" s="5" customFormat="1" ht="17.25" customHeight="1" x14ac:dyDescent="0.4">
      <c r="A37" s="35" t="s">
        <v>100</v>
      </c>
      <c r="B37" s="113">
        <v>29061</v>
      </c>
      <c r="C37" s="36" t="s">
        <v>71</v>
      </c>
      <c r="D37" s="111" t="s">
        <v>77</v>
      </c>
      <c r="E37" s="89">
        <v>3.1099999999999999E-2</v>
      </c>
      <c r="F37" s="116">
        <v>3.5000000000000003E-2</v>
      </c>
      <c r="G37" s="90">
        <v>46272</v>
      </c>
      <c r="H37" s="90">
        <v>46285</v>
      </c>
      <c r="I37" s="91">
        <v>0.80273972602739729</v>
      </c>
      <c r="J37" s="92">
        <v>100</v>
      </c>
      <c r="K37" s="93">
        <v>16.8</v>
      </c>
      <c r="L37" s="94">
        <v>0.80357142857142849</v>
      </c>
      <c r="M37" s="95">
        <v>99.45</v>
      </c>
      <c r="N37" s="96">
        <v>0.2376000000000002</v>
      </c>
      <c r="O37" s="97">
        <v>2560.0000000000027</v>
      </c>
      <c r="P37" s="98">
        <v>0.46</v>
      </c>
      <c r="Q37" s="99">
        <v>10000</v>
      </c>
      <c r="R37" s="98">
        <v>0.153</v>
      </c>
      <c r="S37" s="37" t="s">
        <v>28</v>
      </c>
      <c r="T37" s="38"/>
      <c r="U37" s="40"/>
      <c r="V37" s="124" t="str">
        <f t="shared" si="0"/>
        <v>高林一</v>
      </c>
      <c r="W37" s="125">
        <v>3.0000000000000001E-3</v>
      </c>
    </row>
    <row r="38" spans="1:23" s="5" customFormat="1" ht="17.25" customHeight="1" x14ac:dyDescent="0.4">
      <c r="A38" s="35" t="s">
        <v>101</v>
      </c>
      <c r="B38" s="113">
        <v>30061</v>
      </c>
      <c r="C38" s="36" t="s">
        <v>71</v>
      </c>
      <c r="D38" s="111" t="s">
        <v>77</v>
      </c>
      <c r="E38" s="89">
        <v>3.9200000000000006E-2</v>
      </c>
      <c r="F38" s="116">
        <v>0.04</v>
      </c>
      <c r="G38" s="90">
        <v>46308</v>
      </c>
      <c r="H38" s="90">
        <v>46322</v>
      </c>
      <c r="I38" s="91">
        <v>0.90410958904109584</v>
      </c>
      <c r="J38" s="92">
        <v>100</v>
      </c>
      <c r="K38" s="93">
        <v>83.6</v>
      </c>
      <c r="L38" s="94">
        <v>0.94138755980861244</v>
      </c>
      <c r="M38" s="95">
        <v>114.5</v>
      </c>
      <c r="N38" s="96">
        <v>0.21628970775095294</v>
      </c>
      <c r="O38" s="97">
        <v>18420</v>
      </c>
      <c r="P38" s="98">
        <v>0.99990000000000001</v>
      </c>
      <c r="Q38" s="99">
        <v>10000</v>
      </c>
      <c r="R38" s="98">
        <v>0.64800000000000002</v>
      </c>
      <c r="S38" s="37" t="s">
        <v>28</v>
      </c>
      <c r="T38" s="38"/>
      <c r="U38" s="40"/>
      <c r="V38" s="124" t="str">
        <f t="shared" si="0"/>
        <v>晶豪科一</v>
      </c>
      <c r="W38" s="125">
        <v>3.0000000000000001E-3</v>
      </c>
    </row>
    <row r="39" spans="1:23" s="5" customFormat="1" ht="17.25" customHeight="1" x14ac:dyDescent="0.4">
      <c r="A39" s="35" t="s">
        <v>102</v>
      </c>
      <c r="B39" s="113">
        <v>30134</v>
      </c>
      <c r="C39" s="36" t="s">
        <v>103</v>
      </c>
      <c r="D39" s="111" t="s">
        <v>77</v>
      </c>
      <c r="E39" s="89">
        <v>4.4400000000000009E-2</v>
      </c>
      <c r="F39" s="116">
        <v>2.1999999999999999E-2</v>
      </c>
      <c r="G39" s="90">
        <v>46664</v>
      </c>
      <c r="H39" s="90">
        <v>46678</v>
      </c>
      <c r="I39" s="91">
        <v>1.8794520547945206</v>
      </c>
      <c r="J39" s="92">
        <v>100</v>
      </c>
      <c r="K39" s="93">
        <v>143.80000000000001</v>
      </c>
      <c r="L39" s="94">
        <v>0.9179415855354659</v>
      </c>
      <c r="M39" s="95">
        <v>126</v>
      </c>
      <c r="N39" s="96">
        <v>0.3726363636363636</v>
      </c>
      <c r="O39" s="97">
        <v>30440</v>
      </c>
      <c r="P39" s="98">
        <v>1</v>
      </c>
      <c r="Q39" s="99">
        <v>5000</v>
      </c>
      <c r="R39" s="98">
        <v>0.504</v>
      </c>
      <c r="S39" s="37" t="s">
        <v>27</v>
      </c>
      <c r="T39" s="38"/>
      <c r="U39" s="40"/>
      <c r="V39" s="124" t="str">
        <f t="shared" si="0"/>
        <v>晟銘電四</v>
      </c>
      <c r="W39" s="125">
        <v>3.0000000000000001E-3</v>
      </c>
    </row>
    <row r="40" spans="1:23" s="5" customFormat="1" ht="17.25" customHeight="1" x14ac:dyDescent="0.4">
      <c r="A40" s="35" t="s">
        <v>104</v>
      </c>
      <c r="B40" s="113">
        <v>30321</v>
      </c>
      <c r="C40" s="36" t="s">
        <v>71</v>
      </c>
      <c r="D40" s="111" t="s">
        <v>77</v>
      </c>
      <c r="E40" s="89">
        <v>6.1300000000000007E-2</v>
      </c>
      <c r="F40" s="116">
        <v>3.5000000000000003E-2</v>
      </c>
      <c r="G40" s="90">
        <v>46692</v>
      </c>
      <c r="H40" s="90">
        <v>46704</v>
      </c>
      <c r="I40" s="91">
        <v>1.9506849315068493</v>
      </c>
      <c r="J40" s="92">
        <v>101.0025</v>
      </c>
      <c r="K40" s="93">
        <v>105.9</v>
      </c>
      <c r="L40" s="94">
        <v>0.78375826251180358</v>
      </c>
      <c r="M40" s="95">
        <v>105.95</v>
      </c>
      <c r="N40" s="96">
        <v>0.35181987951807236</v>
      </c>
      <c r="O40" s="97">
        <v>12080.000000000004</v>
      </c>
      <c r="P40" s="98">
        <v>1</v>
      </c>
      <c r="Q40" s="99">
        <v>10000</v>
      </c>
      <c r="R40" s="98">
        <v>0.56200000000000006</v>
      </c>
      <c r="S40" s="37" t="s">
        <v>27</v>
      </c>
      <c r="T40" s="38"/>
      <c r="U40" s="39"/>
      <c r="V40" s="124" t="str">
        <f t="shared" si="0"/>
        <v>偉訓一</v>
      </c>
      <c r="W40" s="125">
        <v>3.0000000000000001E-3</v>
      </c>
    </row>
    <row r="41" spans="1:23" s="5" customFormat="1" ht="20.149999999999999" customHeight="1" x14ac:dyDescent="0.4">
      <c r="A41" s="35" t="s">
        <v>105</v>
      </c>
      <c r="B41" s="113">
        <v>30337</v>
      </c>
      <c r="C41" s="36" t="s">
        <v>71</v>
      </c>
      <c r="D41" s="111" t="s">
        <v>69</v>
      </c>
      <c r="E41" s="89">
        <v>6.9700000000000012E-2</v>
      </c>
      <c r="F41" s="116">
        <v>3.7499999999999999E-2</v>
      </c>
      <c r="G41" s="90">
        <v>46629</v>
      </c>
      <c r="H41" s="90">
        <v>46641</v>
      </c>
      <c r="I41" s="91">
        <v>1.7780821917808218</v>
      </c>
      <c r="J41" s="92">
        <v>100</v>
      </c>
      <c r="K41" s="93">
        <v>34.44</v>
      </c>
      <c r="L41" s="94">
        <v>0.88559814169570272</v>
      </c>
      <c r="M41" s="95">
        <v>105.2</v>
      </c>
      <c r="N41" s="96">
        <v>0.18789770491803273</v>
      </c>
      <c r="O41" s="97">
        <v>12170.000000000004</v>
      </c>
      <c r="P41" s="98">
        <v>1</v>
      </c>
      <c r="Q41" s="99">
        <v>25000</v>
      </c>
      <c r="R41" s="98">
        <v>0.22800000000000001</v>
      </c>
      <c r="S41" s="37" t="s">
        <v>28</v>
      </c>
      <c r="T41" s="38"/>
      <c r="U41" s="40"/>
      <c r="V41" s="124" t="str">
        <f t="shared" si="0"/>
        <v>威健七</v>
      </c>
      <c r="W41" s="125">
        <v>3.0000000000000001E-3</v>
      </c>
    </row>
    <row r="42" spans="1:23" s="5" customFormat="1" ht="17.25" customHeight="1" x14ac:dyDescent="0.4">
      <c r="A42" s="35" t="s">
        <v>106</v>
      </c>
      <c r="B42" s="113">
        <v>30371</v>
      </c>
      <c r="C42" s="36" t="s">
        <v>71</v>
      </c>
      <c r="D42" s="111" t="s">
        <v>73</v>
      </c>
      <c r="E42" s="89">
        <v>7.3300000000000004E-2</v>
      </c>
      <c r="F42" s="116">
        <v>2.4E-2</v>
      </c>
      <c r="G42" s="90">
        <v>47046</v>
      </c>
      <c r="H42" s="90">
        <v>47060</v>
      </c>
      <c r="I42" s="91">
        <v>2.9260273972602739</v>
      </c>
      <c r="J42" s="92">
        <v>100</v>
      </c>
      <c r="K42" s="93">
        <v>165.4</v>
      </c>
      <c r="L42" s="94">
        <v>1.1305925030229746</v>
      </c>
      <c r="M42" s="95">
        <v>134.65</v>
      </c>
      <c r="N42" s="96">
        <v>0.19096844919786091</v>
      </c>
      <c r="O42" s="97">
        <v>41980.000000000007</v>
      </c>
      <c r="P42" s="98">
        <v>1</v>
      </c>
      <c r="Q42" s="99">
        <v>40000</v>
      </c>
      <c r="R42" s="98">
        <v>0.61499999999999999</v>
      </c>
      <c r="S42" s="37" t="s">
        <v>28</v>
      </c>
      <c r="T42" s="38"/>
      <c r="U42" s="39"/>
      <c r="V42" s="124" t="str">
        <f t="shared" si="0"/>
        <v>欣興一</v>
      </c>
      <c r="W42" s="125">
        <v>3.0000000000000001E-3</v>
      </c>
    </row>
    <row r="43" spans="1:23" s="5" customFormat="1" ht="17.25" customHeight="1" x14ac:dyDescent="0.4">
      <c r="A43" s="35" t="s">
        <v>107</v>
      </c>
      <c r="B43" s="113">
        <v>30454</v>
      </c>
      <c r="C43" s="36" t="s">
        <v>71</v>
      </c>
      <c r="D43" s="111" t="s">
        <v>108</v>
      </c>
      <c r="E43" s="89">
        <v>5.4400000000000004E-2</v>
      </c>
      <c r="F43" s="116">
        <v>2.3E-2</v>
      </c>
      <c r="G43" s="90">
        <v>46793</v>
      </c>
      <c r="H43" s="90">
        <v>46807</v>
      </c>
      <c r="I43" s="91">
        <v>2.2328767123287672</v>
      </c>
      <c r="J43" s="92">
        <v>100</v>
      </c>
      <c r="K43" s="93">
        <v>118.2</v>
      </c>
      <c r="L43" s="94">
        <v>0.91793570219966159</v>
      </c>
      <c r="M43" s="95">
        <v>99.5</v>
      </c>
      <c r="N43" s="96">
        <v>8.3953917050691274E-2</v>
      </c>
      <c r="O43" s="97">
        <v>4940.0000000000009</v>
      </c>
      <c r="P43" s="98">
        <v>1</v>
      </c>
      <c r="Q43" s="99">
        <v>70000</v>
      </c>
      <c r="R43" s="98">
        <v>0.13900000000000001</v>
      </c>
      <c r="S43" s="37" t="s">
        <v>27</v>
      </c>
      <c r="T43" s="38"/>
      <c r="U43" s="40"/>
      <c r="V43" s="124" t="str">
        <f t="shared" si="0"/>
        <v>台灣大四</v>
      </c>
      <c r="W43" s="125">
        <v>3.0000000000000001E-3</v>
      </c>
    </row>
    <row r="44" spans="1:23" s="5" customFormat="1" ht="17.25" customHeight="1" x14ac:dyDescent="0.4">
      <c r="A44" s="35" t="s">
        <v>109</v>
      </c>
      <c r="B44" s="113">
        <v>30455</v>
      </c>
      <c r="C44" s="36" t="s">
        <v>71</v>
      </c>
      <c r="D44" s="111" t="s">
        <v>108</v>
      </c>
      <c r="E44" s="89">
        <v>5.4500000000000007E-2</v>
      </c>
      <c r="F44" s="116">
        <v>2.3E-2</v>
      </c>
      <c r="G44" s="90">
        <v>46794</v>
      </c>
      <c r="H44" s="90">
        <v>46808</v>
      </c>
      <c r="I44" s="91">
        <v>2.2356164383561645</v>
      </c>
      <c r="J44" s="92">
        <v>100</v>
      </c>
      <c r="K44" s="93">
        <v>111.3</v>
      </c>
      <c r="L44" s="94">
        <v>0.97484276729559749</v>
      </c>
      <c r="M44" s="95">
        <v>102.5</v>
      </c>
      <c r="N44" s="96">
        <v>5.1451612903225759E-2</v>
      </c>
      <c r="O44" s="97">
        <v>7950.0000000000018</v>
      </c>
      <c r="P44" s="98">
        <v>1</v>
      </c>
      <c r="Q44" s="99">
        <v>30000</v>
      </c>
      <c r="R44" s="98">
        <v>0.13900000000000001</v>
      </c>
      <c r="S44" s="37" t="s">
        <v>27</v>
      </c>
      <c r="T44" s="38"/>
      <c r="U44" s="40"/>
      <c r="V44" s="124" t="str">
        <f t="shared" si="0"/>
        <v>台灣大五</v>
      </c>
      <c r="W44" s="125">
        <v>3.0000000000000001E-3</v>
      </c>
    </row>
    <row r="45" spans="1:23" s="5" customFormat="1" ht="17.25" customHeight="1" x14ac:dyDescent="0.4">
      <c r="A45" s="35" t="s">
        <v>110</v>
      </c>
      <c r="B45" s="113">
        <v>30882</v>
      </c>
      <c r="C45" s="36" t="s">
        <v>71</v>
      </c>
      <c r="D45" s="111" t="s">
        <v>77</v>
      </c>
      <c r="E45" s="89">
        <v>2.52E-2</v>
      </c>
      <c r="F45" s="116">
        <v>0.03</v>
      </c>
      <c r="G45" s="90">
        <v>46248</v>
      </c>
      <c r="H45" s="90">
        <v>46262</v>
      </c>
      <c r="I45" s="91">
        <v>0.73972602739726023</v>
      </c>
      <c r="J45" s="92">
        <v>100</v>
      </c>
      <c r="K45" s="93">
        <v>88.5</v>
      </c>
      <c r="L45" s="94">
        <v>0.87344632768361574</v>
      </c>
      <c r="M45" s="95">
        <v>108</v>
      </c>
      <c r="N45" s="96">
        <v>0.23648124191461842</v>
      </c>
      <c r="O45" s="97">
        <v>10520</v>
      </c>
      <c r="P45" s="98">
        <v>0.46074999999999999</v>
      </c>
      <c r="Q45" s="99">
        <v>8000</v>
      </c>
      <c r="R45" s="98">
        <v>0.26600000000000001</v>
      </c>
      <c r="S45" s="37" t="s">
        <v>28</v>
      </c>
      <c r="T45" s="38"/>
      <c r="U45" s="40"/>
      <c r="V45" s="124" t="str">
        <f t="shared" si="0"/>
        <v>艾訊二</v>
      </c>
      <c r="W45" s="125">
        <v>3.0000000000000001E-3</v>
      </c>
    </row>
    <row r="46" spans="1:23" s="5" customFormat="1" ht="17.25" customHeight="1" x14ac:dyDescent="0.4">
      <c r="A46" s="35" t="s">
        <v>111</v>
      </c>
      <c r="B46" s="113">
        <v>30954</v>
      </c>
      <c r="C46" s="36" t="s">
        <v>112</v>
      </c>
      <c r="D46" s="111" t="s">
        <v>113</v>
      </c>
      <c r="E46" s="89">
        <v>3.27E-2</v>
      </c>
      <c r="F46" s="116">
        <v>2.4E-2</v>
      </c>
      <c r="G46" s="90">
        <v>46429</v>
      </c>
      <c r="H46" s="90">
        <v>46443</v>
      </c>
      <c r="I46" s="91">
        <v>1.2356164383561643</v>
      </c>
      <c r="J46" s="92">
        <v>100</v>
      </c>
      <c r="K46" s="93">
        <v>41.1</v>
      </c>
      <c r="L46" s="94">
        <v>0.6970802919708029</v>
      </c>
      <c r="M46" s="95">
        <v>106</v>
      </c>
      <c r="N46" s="96">
        <v>0.52062827225130892</v>
      </c>
      <c r="O46" s="97">
        <v>9270</v>
      </c>
      <c r="P46" s="98">
        <v>1</v>
      </c>
      <c r="Q46" s="99">
        <v>1500</v>
      </c>
      <c r="R46" s="98">
        <v>0.41399999999999998</v>
      </c>
      <c r="S46" s="37" t="s">
        <v>27</v>
      </c>
      <c r="T46" s="38"/>
      <c r="U46" s="40"/>
      <c r="V46" s="124" t="str">
        <f t="shared" si="0"/>
        <v>及成四</v>
      </c>
      <c r="W46" s="125">
        <v>3.0000000000000001E-3</v>
      </c>
    </row>
    <row r="47" spans="1:23" s="5" customFormat="1" ht="17.25" customHeight="1" x14ac:dyDescent="0.4">
      <c r="A47" s="35" t="s">
        <v>114</v>
      </c>
      <c r="B47" s="113">
        <v>31311</v>
      </c>
      <c r="C47" s="36" t="s">
        <v>71</v>
      </c>
      <c r="D47" s="111" t="s">
        <v>77</v>
      </c>
      <c r="E47" s="89">
        <v>8.2900000000000001E-2</v>
      </c>
      <c r="F47" s="116">
        <v>0.03</v>
      </c>
      <c r="G47" s="90">
        <v>46951</v>
      </c>
      <c r="H47" s="90">
        <v>46964</v>
      </c>
      <c r="I47" s="91">
        <v>2.6630136986301371</v>
      </c>
      <c r="J47" s="92">
        <v>100</v>
      </c>
      <c r="K47" s="93">
        <v>1736.5</v>
      </c>
      <c r="L47" s="94">
        <v>0.86380650734235531</v>
      </c>
      <c r="M47" s="95">
        <v>121.95</v>
      </c>
      <c r="N47" s="96">
        <v>0.41177450000000004</v>
      </c>
      <c r="O47" s="97">
        <v>30240</v>
      </c>
      <c r="P47" s="98">
        <v>1</v>
      </c>
      <c r="Q47" s="99">
        <v>10000</v>
      </c>
      <c r="R47" s="98">
        <v>0.50700000000000001</v>
      </c>
      <c r="S47" s="37" t="s">
        <v>28</v>
      </c>
      <c r="T47" s="38"/>
      <c r="U47" s="39"/>
      <c r="V47" s="124" t="str">
        <f t="shared" si="0"/>
        <v>弘塑一</v>
      </c>
      <c r="W47" s="125">
        <v>3.0000000000000001E-3</v>
      </c>
    </row>
    <row r="48" spans="1:23" s="5" customFormat="1" ht="17.25" customHeight="1" x14ac:dyDescent="0.4">
      <c r="A48" s="35" t="s">
        <v>115</v>
      </c>
      <c r="B48" s="113">
        <v>31312</v>
      </c>
      <c r="C48" s="36" t="s">
        <v>71</v>
      </c>
      <c r="D48" s="111" t="s">
        <v>77</v>
      </c>
      <c r="E48" s="89">
        <v>8.3400000000000002E-2</v>
      </c>
      <c r="F48" s="116">
        <v>0.03</v>
      </c>
      <c r="G48" s="90">
        <v>46958</v>
      </c>
      <c r="H48" s="90">
        <v>46970</v>
      </c>
      <c r="I48" s="91">
        <v>2.6794520547945204</v>
      </c>
      <c r="J48" s="92">
        <v>100</v>
      </c>
      <c r="K48" s="93">
        <v>1626.6</v>
      </c>
      <c r="L48" s="94">
        <v>0.92216894135005534</v>
      </c>
      <c r="M48" s="95">
        <v>123</v>
      </c>
      <c r="N48" s="96">
        <v>0.333812</v>
      </c>
      <c r="O48" s="97">
        <v>31340</v>
      </c>
      <c r="P48" s="98">
        <v>1</v>
      </c>
      <c r="Q48" s="99">
        <v>10000</v>
      </c>
      <c r="R48" s="98">
        <v>0.50700000000000001</v>
      </c>
      <c r="S48" s="37" t="s">
        <v>28</v>
      </c>
      <c r="T48" s="38"/>
      <c r="U48" s="39"/>
      <c r="V48" s="124" t="str">
        <f t="shared" si="0"/>
        <v>弘塑二</v>
      </c>
      <c r="W48" s="125">
        <v>3.0000000000000001E-3</v>
      </c>
    </row>
    <row r="49" spans="1:23" s="5" customFormat="1" ht="17.149999999999999" customHeight="1" x14ac:dyDescent="0.4">
      <c r="A49" s="35" t="s">
        <v>116</v>
      </c>
      <c r="B49" s="113">
        <v>32571</v>
      </c>
      <c r="C49" s="36" t="s">
        <v>71</v>
      </c>
      <c r="D49" s="111" t="s">
        <v>69</v>
      </c>
      <c r="E49" s="89">
        <v>6.4700000000000008E-2</v>
      </c>
      <c r="F49" s="116">
        <v>0.04</v>
      </c>
      <c r="G49" s="90">
        <v>46678</v>
      </c>
      <c r="H49" s="90">
        <v>46692</v>
      </c>
      <c r="I49" s="91">
        <v>1.9178082191780821</v>
      </c>
      <c r="J49" s="92">
        <v>101.50749999999999</v>
      </c>
      <c r="K49" s="93">
        <v>72.2</v>
      </c>
      <c r="L49" s="94">
        <v>0.8476454293628809</v>
      </c>
      <c r="M49" s="95">
        <v>114.05</v>
      </c>
      <c r="N49" s="96">
        <v>0.34549183006535933</v>
      </c>
      <c r="O49" s="97">
        <v>20519.999999999996</v>
      </c>
      <c r="P49" s="98">
        <v>1</v>
      </c>
      <c r="Q49" s="99">
        <v>5000</v>
      </c>
      <c r="R49" s="98">
        <v>0.46400000000000002</v>
      </c>
      <c r="S49" s="37" t="s">
        <v>28</v>
      </c>
      <c r="T49" s="38"/>
      <c r="U49" s="39"/>
      <c r="V49" s="124" t="str">
        <f t="shared" si="0"/>
        <v>虹冠電一</v>
      </c>
      <c r="W49" s="125">
        <v>3.0000000000000001E-3</v>
      </c>
    </row>
    <row r="50" spans="1:23" s="5" customFormat="1" ht="17.149999999999999" customHeight="1" x14ac:dyDescent="0.4">
      <c r="A50" s="35" t="s">
        <v>117</v>
      </c>
      <c r="B50" s="113">
        <v>33133</v>
      </c>
      <c r="C50" s="36" t="s">
        <v>92</v>
      </c>
      <c r="D50" s="111" t="s">
        <v>62</v>
      </c>
      <c r="E50" s="89">
        <v>4.6900000000000004E-2</v>
      </c>
      <c r="F50" s="116">
        <v>2.1999999999999999E-2</v>
      </c>
      <c r="G50" s="90">
        <v>46706</v>
      </c>
      <c r="H50" s="90">
        <v>46720</v>
      </c>
      <c r="I50" s="91">
        <v>1.9945205479452055</v>
      </c>
      <c r="J50" s="92">
        <v>100</v>
      </c>
      <c r="K50" s="93">
        <v>15.7</v>
      </c>
      <c r="L50" s="94">
        <v>0.92993630573248409</v>
      </c>
      <c r="M50" s="95">
        <v>109.1</v>
      </c>
      <c r="N50" s="96">
        <v>0.17319863013698622</v>
      </c>
      <c r="O50" s="97">
        <v>13789.999999999995</v>
      </c>
      <c r="P50" s="98">
        <v>0.98575000000000002</v>
      </c>
      <c r="Q50" s="99">
        <v>4000</v>
      </c>
      <c r="R50" s="98">
        <v>0.33500000000000002</v>
      </c>
      <c r="S50" s="37" t="s">
        <v>27</v>
      </c>
      <c r="T50" s="38"/>
      <c r="U50" s="39"/>
      <c r="V50" s="124" t="str">
        <f t="shared" ref="V50:V96" si="1">A50</f>
        <v>斐成三</v>
      </c>
      <c r="W50" s="125">
        <v>3.0000000000000001E-3</v>
      </c>
    </row>
    <row r="51" spans="1:23" s="5" customFormat="1" ht="17.149999999999999" customHeight="1" x14ac:dyDescent="0.4">
      <c r="A51" s="35" t="s">
        <v>118</v>
      </c>
      <c r="B51" s="113">
        <v>33245</v>
      </c>
      <c r="C51" s="36" t="s">
        <v>71</v>
      </c>
      <c r="D51" s="111" t="s">
        <v>73</v>
      </c>
      <c r="E51" s="89">
        <v>2.9599999999999998E-2</v>
      </c>
      <c r="F51" s="116">
        <v>2.5000000000000001E-2</v>
      </c>
      <c r="G51" s="90">
        <v>46587</v>
      </c>
      <c r="H51" s="90">
        <v>46599</v>
      </c>
      <c r="I51" s="91">
        <v>1.6630136986301369</v>
      </c>
      <c r="J51" s="92">
        <v>101.50749999999999</v>
      </c>
      <c r="K51" s="93">
        <v>734.4</v>
      </c>
      <c r="L51" s="94">
        <v>1.2200435729847494</v>
      </c>
      <c r="M51" s="95">
        <v>143</v>
      </c>
      <c r="N51" s="96">
        <v>0.17208928571428575</v>
      </c>
      <c r="O51" s="97">
        <v>45960</v>
      </c>
      <c r="P51" s="98">
        <v>1</v>
      </c>
      <c r="Q51" s="99">
        <v>15000</v>
      </c>
      <c r="R51" s="98">
        <v>0.53800000000000003</v>
      </c>
      <c r="S51" s="37" t="s">
        <v>27</v>
      </c>
      <c r="T51" s="38"/>
      <c r="U51" s="39"/>
      <c r="V51" s="124" t="str">
        <f t="shared" si="1"/>
        <v>雙鴻五</v>
      </c>
      <c r="W51" s="125">
        <v>3.0000000000000001E-3</v>
      </c>
    </row>
    <row r="52" spans="1:23" s="5" customFormat="1" ht="17.25" customHeight="1" x14ac:dyDescent="0.4">
      <c r="A52" s="35" t="s">
        <v>119</v>
      </c>
      <c r="B52" s="113">
        <v>33571</v>
      </c>
      <c r="C52" s="36" t="s">
        <v>71</v>
      </c>
      <c r="D52" s="111" t="s">
        <v>73</v>
      </c>
      <c r="E52" s="89">
        <v>2.6799999999999997E-2</v>
      </c>
      <c r="F52" s="116">
        <v>2.5999999999999999E-2</v>
      </c>
      <c r="G52" s="90">
        <v>46314</v>
      </c>
      <c r="H52" s="90">
        <v>46326</v>
      </c>
      <c r="I52" s="91">
        <v>0.91506849315068495</v>
      </c>
      <c r="J52" s="92">
        <v>100</v>
      </c>
      <c r="K52" s="93">
        <v>108.9</v>
      </c>
      <c r="L52" s="94">
        <v>1.4738292011019283</v>
      </c>
      <c r="M52" s="95">
        <v>146.30000000000001</v>
      </c>
      <c r="N52" s="96">
        <v>-7.3476635514017263E-3</v>
      </c>
      <c r="O52" s="97">
        <v>48980.000000000015</v>
      </c>
      <c r="P52" s="98">
        <v>0.89354545454545453</v>
      </c>
      <c r="Q52" s="99">
        <v>11000</v>
      </c>
      <c r="R52" s="98">
        <v>0.55700000000000005</v>
      </c>
      <c r="S52" s="37" t="s">
        <v>27</v>
      </c>
      <c r="T52" s="38"/>
      <c r="U52" s="39"/>
      <c r="V52" s="124" t="str">
        <f t="shared" si="1"/>
        <v>臺慶科一</v>
      </c>
      <c r="W52" s="125">
        <v>3.0000000000000001E-3</v>
      </c>
    </row>
    <row r="53" spans="1:23" s="5" customFormat="1" ht="17.25" customHeight="1" x14ac:dyDescent="0.4">
      <c r="A53" s="35" t="s">
        <v>120</v>
      </c>
      <c r="B53" s="113">
        <v>33621</v>
      </c>
      <c r="C53" s="36" t="s">
        <v>121</v>
      </c>
      <c r="D53" s="111" t="s">
        <v>69</v>
      </c>
      <c r="E53" s="89">
        <v>3.1199999999999999E-2</v>
      </c>
      <c r="F53" s="116">
        <v>2.1999999999999999E-2</v>
      </c>
      <c r="G53" s="90">
        <v>46570</v>
      </c>
      <c r="H53" s="90">
        <v>46584</v>
      </c>
      <c r="I53" s="91">
        <v>1.6219178082191781</v>
      </c>
      <c r="J53" s="92">
        <v>100.75</v>
      </c>
      <c r="K53" s="93">
        <v>251</v>
      </c>
      <c r="L53" s="94">
        <v>0.36932270916334664</v>
      </c>
      <c r="M53" s="95">
        <v>101.6</v>
      </c>
      <c r="N53" s="96">
        <v>1.7509816612729232</v>
      </c>
      <c r="O53" s="97">
        <v>4719.9999999999945</v>
      </c>
      <c r="P53" s="98">
        <v>0.99991666666666668</v>
      </c>
      <c r="Q53" s="99">
        <v>12000</v>
      </c>
      <c r="R53" s="98">
        <v>0.44800000000000001</v>
      </c>
      <c r="S53" s="37" t="s">
        <v>27</v>
      </c>
      <c r="T53" s="38"/>
      <c r="U53" s="39"/>
      <c r="V53" s="124" t="str">
        <f t="shared" si="1"/>
        <v>先進光一</v>
      </c>
      <c r="W53" s="125">
        <v>3.0000000000000001E-3</v>
      </c>
    </row>
    <row r="54" spans="1:23" s="5" customFormat="1" ht="17.25" customHeight="1" x14ac:dyDescent="0.4">
      <c r="A54" s="35" t="s">
        <v>33</v>
      </c>
      <c r="B54" s="113">
        <v>33763</v>
      </c>
      <c r="C54" s="36" t="s">
        <v>71</v>
      </c>
      <c r="D54" s="111" t="s">
        <v>73</v>
      </c>
      <c r="E54" s="89">
        <v>3.1099999999999999E-2</v>
      </c>
      <c r="F54" s="116">
        <v>2.5000000000000001E-2</v>
      </c>
      <c r="G54" s="90">
        <v>46608</v>
      </c>
      <c r="H54" s="90">
        <v>46622</v>
      </c>
      <c r="I54" s="91">
        <v>1.726027397260274</v>
      </c>
      <c r="J54" s="92">
        <v>101.51</v>
      </c>
      <c r="K54" s="93">
        <v>195.2</v>
      </c>
      <c r="L54" s="94">
        <v>1.0015368852459017</v>
      </c>
      <c r="M54" s="95">
        <v>125.95</v>
      </c>
      <c r="N54" s="96">
        <v>0.25756726342711</v>
      </c>
      <c r="O54" s="97">
        <v>29060.000000000004</v>
      </c>
      <c r="P54" s="98">
        <v>1</v>
      </c>
      <c r="Q54" s="99">
        <v>8000</v>
      </c>
      <c r="R54" s="98">
        <v>0.41599999999999998</v>
      </c>
      <c r="S54" s="37" t="s">
        <v>27</v>
      </c>
      <c r="T54" s="38"/>
      <c r="U54" s="39"/>
      <c r="V54" s="124" t="str">
        <f t="shared" si="1"/>
        <v>新日興三</v>
      </c>
      <c r="W54" s="125">
        <v>3.0000000000000001E-3</v>
      </c>
    </row>
    <row r="55" spans="1:23" s="5" customFormat="1" ht="17.25" customHeight="1" x14ac:dyDescent="0.4">
      <c r="A55" s="128" t="s">
        <v>122</v>
      </c>
      <c r="B55" s="113">
        <v>33881</v>
      </c>
      <c r="C55" s="36" t="s">
        <v>71</v>
      </c>
      <c r="D55" s="111" t="s">
        <v>73</v>
      </c>
      <c r="E55" s="89">
        <v>5.7400000000000007E-2</v>
      </c>
      <c r="F55" s="116">
        <v>2.8000000000000001E-2</v>
      </c>
      <c r="G55" s="90">
        <v>46686</v>
      </c>
      <c r="H55" s="90">
        <v>46700</v>
      </c>
      <c r="I55" s="91">
        <v>1.9397260273972603</v>
      </c>
      <c r="J55" s="92">
        <v>100</v>
      </c>
      <c r="K55" s="93">
        <v>62.8</v>
      </c>
      <c r="L55" s="94">
        <v>0.98089171974522305</v>
      </c>
      <c r="M55" s="95">
        <v>103.85</v>
      </c>
      <c r="N55" s="96">
        <v>5.8730519480519335E-2</v>
      </c>
      <c r="O55" s="97">
        <v>9589.9999999999964</v>
      </c>
      <c r="P55" s="98">
        <v>0.99985714285714289</v>
      </c>
      <c r="Q55" s="99">
        <v>7000</v>
      </c>
      <c r="R55" s="98">
        <v>6.3E-2</v>
      </c>
      <c r="S55" s="37" t="s">
        <v>27</v>
      </c>
      <c r="T55" s="38" t="s">
        <v>29</v>
      </c>
      <c r="U55" s="39"/>
      <c r="V55" s="124" t="str">
        <f t="shared" si="1"/>
        <v>崇越電一</v>
      </c>
      <c r="W55" s="125">
        <v>3.0000000000000001E-3</v>
      </c>
    </row>
    <row r="56" spans="1:23" s="5" customFormat="1" ht="17.25" customHeight="1" x14ac:dyDescent="0.4">
      <c r="A56" s="35" t="s">
        <v>123</v>
      </c>
      <c r="B56" s="113">
        <v>33902</v>
      </c>
      <c r="C56" s="36" t="s">
        <v>124</v>
      </c>
      <c r="D56" s="111" t="s">
        <v>67</v>
      </c>
      <c r="E56" s="89">
        <v>5.2000000000000005E-2</v>
      </c>
      <c r="F56" s="116">
        <v>2.1999999999999999E-2</v>
      </c>
      <c r="G56" s="90">
        <v>46790</v>
      </c>
      <c r="H56" s="90">
        <v>46804</v>
      </c>
      <c r="I56" s="91">
        <v>2.2246575342465755</v>
      </c>
      <c r="J56" s="92">
        <v>100</v>
      </c>
      <c r="K56" s="93">
        <v>24.2</v>
      </c>
      <c r="L56" s="94">
        <v>0.89256198347107452</v>
      </c>
      <c r="M56" s="95">
        <v>111.7</v>
      </c>
      <c r="N56" s="96">
        <v>0.25145370370370346</v>
      </c>
      <c r="O56" s="97">
        <v>16900.000000000004</v>
      </c>
      <c r="P56" s="98">
        <v>1</v>
      </c>
      <c r="Q56" s="99">
        <v>2000</v>
      </c>
      <c r="R56" s="98">
        <v>0.34899999999999998</v>
      </c>
      <c r="S56" s="37" t="s">
        <v>27</v>
      </c>
      <c r="T56" s="38"/>
      <c r="U56" s="39"/>
      <c r="V56" s="124" t="str">
        <f t="shared" si="1"/>
        <v>旭軟二</v>
      </c>
      <c r="W56" s="125">
        <v>3.0000000000000001E-3</v>
      </c>
    </row>
    <row r="57" spans="1:23" s="5" customFormat="1" ht="17.25" customHeight="1" x14ac:dyDescent="0.4">
      <c r="A57" s="35" t="s">
        <v>125</v>
      </c>
      <c r="B57" s="113">
        <v>34163</v>
      </c>
      <c r="C57" s="36" t="s">
        <v>71</v>
      </c>
      <c r="D57" s="111" t="s">
        <v>77</v>
      </c>
      <c r="E57" s="89">
        <v>2.0999999999999999E-3</v>
      </c>
      <c r="F57" s="116">
        <v>2.75E-2</v>
      </c>
      <c r="G57" s="90">
        <v>46034</v>
      </c>
      <c r="H57" s="90">
        <v>46047</v>
      </c>
      <c r="I57" s="91">
        <v>0.15068493150684931</v>
      </c>
      <c r="J57" s="92">
        <v>100.5</v>
      </c>
      <c r="K57" s="93">
        <v>127.1</v>
      </c>
      <c r="L57" s="94">
        <v>1.1447678992918962</v>
      </c>
      <c r="M57" s="95">
        <v>124</v>
      </c>
      <c r="N57" s="96">
        <v>8.3189003436426046E-2</v>
      </c>
      <c r="O57" s="97">
        <v>24210</v>
      </c>
      <c r="P57" s="98">
        <v>0.84060000000000001</v>
      </c>
      <c r="Q57" s="99">
        <v>5000</v>
      </c>
      <c r="R57" s="98">
        <v>0.221</v>
      </c>
      <c r="S57" s="37" t="s">
        <v>28</v>
      </c>
      <c r="T57" s="38"/>
      <c r="U57" s="39"/>
      <c r="V57" s="124" t="str">
        <f t="shared" si="1"/>
        <v>融程電三</v>
      </c>
      <c r="W57" s="125">
        <v>3.0000000000000001E-3</v>
      </c>
    </row>
    <row r="58" spans="1:23" s="5" customFormat="1" ht="17.25" customHeight="1" x14ac:dyDescent="0.4">
      <c r="A58" s="35" t="s">
        <v>126</v>
      </c>
      <c r="B58" s="113">
        <v>34793</v>
      </c>
      <c r="C58" s="36" t="s">
        <v>71</v>
      </c>
      <c r="D58" s="111" t="s">
        <v>77</v>
      </c>
      <c r="E58" s="89">
        <v>3.7300000000000007E-2</v>
      </c>
      <c r="F58" s="116">
        <v>0.03</v>
      </c>
      <c r="G58" s="90">
        <v>46395</v>
      </c>
      <c r="H58" s="90">
        <v>46409</v>
      </c>
      <c r="I58" s="91">
        <v>1.1424657534246576</v>
      </c>
      <c r="J58" s="92">
        <v>100</v>
      </c>
      <c r="K58" s="93">
        <v>109.3</v>
      </c>
      <c r="L58" s="94">
        <v>0.898444647758463</v>
      </c>
      <c r="M58" s="95">
        <v>112.1</v>
      </c>
      <c r="N58" s="96">
        <v>0.24771181262729103</v>
      </c>
      <c r="O58" s="97">
        <v>15829.999999999995</v>
      </c>
      <c r="P58" s="98">
        <v>1</v>
      </c>
      <c r="Q58" s="99">
        <v>6500</v>
      </c>
      <c r="R58" s="98">
        <v>0.32700000000000001</v>
      </c>
      <c r="S58" s="37" t="s">
        <v>28</v>
      </c>
      <c r="T58" s="38"/>
      <c r="U58" s="39"/>
      <c r="V58" s="124" t="str">
        <f t="shared" si="1"/>
        <v>安勤三</v>
      </c>
      <c r="W58" s="125">
        <v>3.0000000000000001E-3</v>
      </c>
    </row>
    <row r="59" spans="1:23" s="5" customFormat="1" ht="17.25" customHeight="1" x14ac:dyDescent="0.4">
      <c r="A59" s="35" t="s">
        <v>127</v>
      </c>
      <c r="B59" s="113">
        <v>34834</v>
      </c>
      <c r="C59" s="36" t="s">
        <v>71</v>
      </c>
      <c r="D59" s="111" t="s">
        <v>69</v>
      </c>
      <c r="E59" s="89">
        <v>6.1900000000000004E-2</v>
      </c>
      <c r="F59" s="116">
        <v>0.04</v>
      </c>
      <c r="G59" s="90">
        <v>46517</v>
      </c>
      <c r="H59" s="90">
        <v>46529</v>
      </c>
      <c r="I59" s="91">
        <v>1.4712328767123288</v>
      </c>
      <c r="J59" s="92">
        <v>100</v>
      </c>
      <c r="K59" s="93">
        <v>136.1</v>
      </c>
      <c r="L59" s="94">
        <v>0.67376928728875829</v>
      </c>
      <c r="M59" s="95">
        <v>104</v>
      </c>
      <c r="N59" s="96">
        <v>0.54355507088331523</v>
      </c>
      <c r="O59" s="97">
        <v>10190</v>
      </c>
      <c r="P59" s="98">
        <v>1</v>
      </c>
      <c r="Q59" s="99">
        <v>2000</v>
      </c>
      <c r="R59" s="98">
        <v>0.47099999999999997</v>
      </c>
      <c r="S59" s="37" t="s">
        <v>28</v>
      </c>
      <c r="T59" s="38"/>
      <c r="U59" s="39"/>
      <c r="V59" s="124" t="str">
        <f t="shared" si="1"/>
        <v>力致四</v>
      </c>
      <c r="W59" s="125">
        <v>3.0000000000000001E-3</v>
      </c>
    </row>
    <row r="60" spans="1:23" s="5" customFormat="1" ht="17.25" customHeight="1" x14ac:dyDescent="0.4">
      <c r="A60" s="35" t="s">
        <v>128</v>
      </c>
      <c r="B60" s="113">
        <v>35161</v>
      </c>
      <c r="C60" s="36" t="s">
        <v>129</v>
      </c>
      <c r="D60" s="111" t="s">
        <v>67</v>
      </c>
      <c r="E60" s="89">
        <v>4.4400000000000009E-2</v>
      </c>
      <c r="F60" s="116">
        <v>2.1999999999999999E-2</v>
      </c>
      <c r="G60" s="90">
        <v>46664</v>
      </c>
      <c r="H60" s="90">
        <v>46678</v>
      </c>
      <c r="I60" s="91">
        <v>1.8794520547945206</v>
      </c>
      <c r="J60" s="92">
        <v>100</v>
      </c>
      <c r="K60" s="93">
        <v>25.81</v>
      </c>
      <c r="L60" s="94">
        <v>0.76520728399845028</v>
      </c>
      <c r="M60" s="95">
        <v>109</v>
      </c>
      <c r="N60" s="96">
        <v>0.42445063291139229</v>
      </c>
      <c r="O60" s="97">
        <v>13440.000000000002</v>
      </c>
      <c r="P60" s="98">
        <v>1</v>
      </c>
      <c r="Q60" s="99">
        <v>3500</v>
      </c>
      <c r="R60" s="98">
        <v>0.19800000000000001</v>
      </c>
      <c r="S60" s="37" t="s">
        <v>27</v>
      </c>
      <c r="T60" s="38"/>
      <c r="U60" s="39"/>
      <c r="V60" s="124" t="str">
        <f t="shared" si="1"/>
        <v>亞帝歐一</v>
      </c>
      <c r="W60" s="125">
        <v>3.0000000000000001E-3</v>
      </c>
    </row>
    <row r="61" spans="1:23" s="5" customFormat="1" ht="17.25" customHeight="1" x14ac:dyDescent="0.4">
      <c r="A61" s="35" t="s">
        <v>130</v>
      </c>
      <c r="B61" s="113">
        <v>35181</v>
      </c>
      <c r="C61" s="36" t="s">
        <v>131</v>
      </c>
      <c r="D61" s="111" t="s">
        <v>62</v>
      </c>
      <c r="E61" s="89">
        <v>4.0500000000000008E-2</v>
      </c>
      <c r="F61" s="116">
        <v>2.1999999999999999E-2</v>
      </c>
      <c r="G61" s="90">
        <v>46601</v>
      </c>
      <c r="H61" s="90">
        <v>46614</v>
      </c>
      <c r="I61" s="91">
        <v>1.704109589041096</v>
      </c>
      <c r="J61" s="92">
        <v>100</v>
      </c>
      <c r="K61" s="93">
        <v>35</v>
      </c>
      <c r="L61" s="94">
        <v>0.59428571428571431</v>
      </c>
      <c r="M61" s="95">
        <v>107.95</v>
      </c>
      <c r="N61" s="96">
        <v>0.81646634615384617</v>
      </c>
      <c r="O61" s="97">
        <v>12000.000000000004</v>
      </c>
      <c r="P61" s="98">
        <v>1</v>
      </c>
      <c r="Q61" s="99">
        <v>3000</v>
      </c>
      <c r="R61" s="98">
        <v>0.39400000000000002</v>
      </c>
      <c r="S61" s="37" t="s">
        <v>27</v>
      </c>
      <c r="T61" s="38"/>
      <c r="U61" s="39"/>
      <c r="V61" s="124" t="str">
        <f t="shared" si="1"/>
        <v>柏騰一</v>
      </c>
      <c r="W61" s="125">
        <v>3.0000000000000001E-3</v>
      </c>
    </row>
    <row r="62" spans="1:23" s="5" customFormat="1" ht="17.25" customHeight="1" x14ac:dyDescent="0.4">
      <c r="A62" s="128" t="s">
        <v>132</v>
      </c>
      <c r="B62" s="113">
        <v>35221</v>
      </c>
      <c r="C62" s="36" t="s">
        <v>133</v>
      </c>
      <c r="D62" s="111" t="s">
        <v>113</v>
      </c>
      <c r="E62" s="89">
        <v>1.0999999999999999E-2</v>
      </c>
      <c r="F62" s="116">
        <v>2.1999999999999999E-2</v>
      </c>
      <c r="G62" s="90">
        <v>46360</v>
      </c>
      <c r="H62" s="90">
        <v>46374</v>
      </c>
      <c r="I62" s="91">
        <v>1.0465753424657533</v>
      </c>
      <c r="J62" s="92">
        <v>101.50749999999999</v>
      </c>
      <c r="K62" s="93">
        <v>18.600000000000001</v>
      </c>
      <c r="L62" s="94">
        <v>0.85752688172043012</v>
      </c>
      <c r="M62" s="95">
        <v>106.45</v>
      </c>
      <c r="N62" s="96">
        <v>0.24136050156739819</v>
      </c>
      <c r="O62" s="97">
        <v>7550.0000000000027</v>
      </c>
      <c r="P62" s="98">
        <v>0.82066666666666666</v>
      </c>
      <c r="Q62" s="99">
        <v>1500</v>
      </c>
      <c r="R62" s="98">
        <v>0.318</v>
      </c>
      <c r="S62" s="37" t="s">
        <v>27</v>
      </c>
      <c r="T62" s="38" t="s">
        <v>29</v>
      </c>
      <c r="U62" s="39"/>
      <c r="V62" s="124" t="str">
        <f t="shared" si="1"/>
        <v>御嵿一</v>
      </c>
      <c r="W62" s="125">
        <v>3.0000000000000001E-3</v>
      </c>
    </row>
    <row r="63" spans="1:23" s="5" customFormat="1" ht="17.25" customHeight="1" x14ac:dyDescent="0.4">
      <c r="A63" s="35" t="s">
        <v>134</v>
      </c>
      <c r="B63" s="113">
        <v>35266</v>
      </c>
      <c r="C63" s="36" t="s">
        <v>71</v>
      </c>
      <c r="D63" s="111" t="s">
        <v>77</v>
      </c>
      <c r="E63" s="89">
        <v>3.7900000000000003E-2</v>
      </c>
      <c r="F63" s="116">
        <v>0.03</v>
      </c>
      <c r="G63" s="90">
        <v>46402</v>
      </c>
      <c r="H63" s="90">
        <v>46416</v>
      </c>
      <c r="I63" s="91">
        <v>1.1616438356164382</v>
      </c>
      <c r="J63" s="92">
        <v>100</v>
      </c>
      <c r="K63" s="93">
        <v>200.3</v>
      </c>
      <c r="L63" s="94">
        <v>1.2131802296555168</v>
      </c>
      <c r="M63" s="95">
        <v>130</v>
      </c>
      <c r="N63" s="96">
        <v>7.1563786008230421E-2</v>
      </c>
      <c r="O63" s="97">
        <v>33790</v>
      </c>
      <c r="P63" s="98">
        <v>0.78749999999999998</v>
      </c>
      <c r="Q63" s="99">
        <v>10000</v>
      </c>
      <c r="R63" s="98">
        <v>0.28599999999999998</v>
      </c>
      <c r="S63" s="37" t="s">
        <v>28</v>
      </c>
      <c r="T63" s="38"/>
      <c r="U63" s="39"/>
      <c r="V63" s="124" t="str">
        <f t="shared" si="1"/>
        <v>凡甲六</v>
      </c>
      <c r="W63" s="125">
        <v>3.0000000000000001E-3</v>
      </c>
    </row>
    <row r="64" spans="1:23" s="5" customFormat="1" ht="17.25" customHeight="1" x14ac:dyDescent="0.4">
      <c r="A64" s="35" t="s">
        <v>135</v>
      </c>
      <c r="B64" s="113">
        <v>35267</v>
      </c>
      <c r="C64" s="36" t="s">
        <v>71</v>
      </c>
      <c r="D64" s="111" t="s">
        <v>77</v>
      </c>
      <c r="E64" s="89">
        <v>8.2400000000000001E-2</v>
      </c>
      <c r="F64" s="116">
        <v>0.03</v>
      </c>
      <c r="G64" s="90">
        <v>46944</v>
      </c>
      <c r="H64" s="90">
        <v>46958</v>
      </c>
      <c r="I64" s="91">
        <v>2.6465753424657534</v>
      </c>
      <c r="J64" s="92">
        <v>100</v>
      </c>
      <c r="K64" s="93">
        <v>269.60000000000002</v>
      </c>
      <c r="L64" s="94">
        <v>0.90133531157270008</v>
      </c>
      <c r="M64" s="95">
        <v>115</v>
      </c>
      <c r="N64" s="96">
        <v>0.27588477366255165</v>
      </c>
      <c r="O64" s="97">
        <v>23240</v>
      </c>
      <c r="P64" s="98">
        <v>1</v>
      </c>
      <c r="Q64" s="99">
        <v>15000</v>
      </c>
      <c r="R64" s="98">
        <v>0.28599999999999998</v>
      </c>
      <c r="S64" s="37" t="s">
        <v>28</v>
      </c>
      <c r="T64" s="38"/>
      <c r="U64" s="39"/>
      <c r="V64" s="124" t="str">
        <f t="shared" si="1"/>
        <v>凡甲七</v>
      </c>
      <c r="W64" s="125">
        <v>3.0000000000000001E-3</v>
      </c>
    </row>
    <row r="65" spans="1:23" s="5" customFormat="1" ht="17.25" customHeight="1" x14ac:dyDescent="0.4">
      <c r="A65" s="35" t="s">
        <v>136</v>
      </c>
      <c r="B65" s="113">
        <v>35482</v>
      </c>
      <c r="C65" s="36" t="s">
        <v>71</v>
      </c>
      <c r="D65" s="111" t="s">
        <v>73</v>
      </c>
      <c r="E65" s="89">
        <v>3.1800000000000002E-2</v>
      </c>
      <c r="F65" s="116">
        <v>2.5999999999999999E-2</v>
      </c>
      <c r="G65" s="90">
        <v>46381</v>
      </c>
      <c r="H65" s="90">
        <v>46395</v>
      </c>
      <c r="I65" s="91">
        <v>1.1041095890410959</v>
      </c>
      <c r="J65" s="92">
        <v>100</v>
      </c>
      <c r="K65" s="93">
        <v>186</v>
      </c>
      <c r="L65" s="94">
        <v>0.49247311827956985</v>
      </c>
      <c r="M65" s="95">
        <v>103</v>
      </c>
      <c r="N65" s="96">
        <v>1.0914847161572054</v>
      </c>
      <c r="O65" s="97">
        <v>6180</v>
      </c>
      <c r="P65" s="98">
        <v>0.99987499999999996</v>
      </c>
      <c r="Q65" s="99">
        <v>8000</v>
      </c>
      <c r="R65" s="98">
        <v>0.28599999999999998</v>
      </c>
      <c r="S65" s="37" t="s">
        <v>28</v>
      </c>
      <c r="T65" s="38"/>
      <c r="U65" s="39"/>
      <c r="V65" s="124" t="str">
        <f t="shared" si="1"/>
        <v>兆利二</v>
      </c>
      <c r="W65" s="125">
        <v>3.0000000000000001E-3</v>
      </c>
    </row>
    <row r="66" spans="1:23" s="5" customFormat="1" ht="17.25" customHeight="1" x14ac:dyDescent="0.4">
      <c r="A66" s="35" t="s">
        <v>137</v>
      </c>
      <c r="B66" s="113">
        <v>35483</v>
      </c>
      <c r="C66" s="36" t="s">
        <v>71</v>
      </c>
      <c r="D66" s="111" t="s">
        <v>73</v>
      </c>
      <c r="E66" s="89">
        <v>5.8900000000000008E-2</v>
      </c>
      <c r="F66" s="116">
        <v>2.5000000000000001E-2</v>
      </c>
      <c r="G66" s="90">
        <v>46794</v>
      </c>
      <c r="H66" s="90">
        <v>46808</v>
      </c>
      <c r="I66" s="91">
        <v>2.2356164383561645</v>
      </c>
      <c r="J66" s="92">
        <v>100</v>
      </c>
      <c r="K66" s="93">
        <v>162.80000000000001</v>
      </c>
      <c r="L66" s="94">
        <v>0.56265356265356259</v>
      </c>
      <c r="M66" s="95">
        <v>101.5</v>
      </c>
      <c r="N66" s="96">
        <v>0.80395196506550237</v>
      </c>
      <c r="O66" s="97">
        <v>7390.0000000000009</v>
      </c>
      <c r="P66" s="98">
        <v>1</v>
      </c>
      <c r="Q66" s="99">
        <v>15000</v>
      </c>
      <c r="R66" s="98">
        <v>0.28599999999999998</v>
      </c>
      <c r="S66" s="37" t="s">
        <v>28</v>
      </c>
      <c r="T66" s="38"/>
      <c r="U66" s="39"/>
      <c r="V66" s="124" t="str">
        <f t="shared" si="1"/>
        <v>兆利三</v>
      </c>
      <c r="W66" s="125">
        <v>3.0000000000000001E-3</v>
      </c>
    </row>
    <row r="67" spans="1:23" s="5" customFormat="1" ht="17.25" customHeight="1" x14ac:dyDescent="0.4">
      <c r="A67" s="35" t="s">
        <v>85</v>
      </c>
      <c r="B67" s="113">
        <v>24023</v>
      </c>
      <c r="C67" s="36" t="s">
        <v>71</v>
      </c>
      <c r="D67" s="111" t="s">
        <v>77</v>
      </c>
      <c r="E67" s="89">
        <v>6.2100000000000002E-2</v>
      </c>
      <c r="F67" s="116">
        <v>0.03</v>
      </c>
      <c r="G67" s="90">
        <v>46696</v>
      </c>
      <c r="H67" s="90">
        <v>46710</v>
      </c>
      <c r="I67" s="91">
        <v>1.9671232876712328</v>
      </c>
      <c r="J67" s="92">
        <v>100</v>
      </c>
      <c r="K67" s="93">
        <v>55</v>
      </c>
      <c r="L67" s="94">
        <v>0.8927272727272727</v>
      </c>
      <c r="M67" s="95">
        <v>111</v>
      </c>
      <c r="N67" s="96">
        <v>0.24338085539714877</v>
      </c>
      <c r="O67" s="97">
        <v>17210</v>
      </c>
      <c r="P67" s="98">
        <v>1</v>
      </c>
      <c r="Q67" s="99">
        <v>10000</v>
      </c>
      <c r="R67" s="98">
        <v>0.47799999999999998</v>
      </c>
      <c r="S67" s="37" t="s">
        <v>28</v>
      </c>
      <c r="T67" s="38"/>
      <c r="U67" s="40"/>
      <c r="V67" s="124" t="str">
        <f t="shared" si="1"/>
        <v>毅嘉三</v>
      </c>
      <c r="W67" s="125">
        <v>3.0000000000000001E-3</v>
      </c>
    </row>
    <row r="68" spans="1:23" s="5" customFormat="1" ht="17.25" customHeight="1" x14ac:dyDescent="0.4">
      <c r="A68" s="35" t="s">
        <v>138</v>
      </c>
      <c r="B68" s="113">
        <v>35831</v>
      </c>
      <c r="C68" s="36" t="s">
        <v>71</v>
      </c>
      <c r="D68" s="111" t="s">
        <v>73</v>
      </c>
      <c r="E68" s="89">
        <v>1.7499999999999998E-2</v>
      </c>
      <c r="F68" s="116">
        <v>2.8000000000000001E-2</v>
      </c>
      <c r="G68" s="90">
        <v>46167</v>
      </c>
      <c r="H68" s="90">
        <v>46180</v>
      </c>
      <c r="I68" s="91">
        <v>0.51506849315068493</v>
      </c>
      <c r="J68" s="92">
        <v>100</v>
      </c>
      <c r="K68" s="93">
        <v>349.3</v>
      </c>
      <c r="L68" s="94">
        <v>0.90752934440309185</v>
      </c>
      <c r="M68" s="95">
        <v>114.25</v>
      </c>
      <c r="N68" s="96">
        <v>0.25891246056782335</v>
      </c>
      <c r="O68" s="97">
        <v>15999.999999999998</v>
      </c>
      <c r="P68" s="98">
        <v>1</v>
      </c>
      <c r="Q68" s="99">
        <v>2000</v>
      </c>
      <c r="R68" s="98">
        <v>0.29599999999999999</v>
      </c>
      <c r="S68" s="37" t="s">
        <v>28</v>
      </c>
      <c r="T68" s="38"/>
      <c r="U68" s="39"/>
      <c r="V68" s="124" t="str">
        <f t="shared" si="1"/>
        <v>辛耘一</v>
      </c>
      <c r="W68" s="125">
        <v>3.0000000000000001E-3</v>
      </c>
    </row>
    <row r="69" spans="1:23" s="5" customFormat="1" ht="17.25" customHeight="1" x14ac:dyDescent="0.4">
      <c r="A69" s="35" t="s">
        <v>34</v>
      </c>
      <c r="B69" s="113">
        <v>35832</v>
      </c>
      <c r="C69" s="36" t="s">
        <v>71</v>
      </c>
      <c r="D69" s="111" t="s">
        <v>73</v>
      </c>
      <c r="E69" s="89">
        <v>1.84E-2</v>
      </c>
      <c r="F69" s="116">
        <v>2.8000000000000001E-2</v>
      </c>
      <c r="G69" s="90">
        <v>46178</v>
      </c>
      <c r="H69" s="90">
        <v>46192</v>
      </c>
      <c r="I69" s="91">
        <v>0.54794520547945202</v>
      </c>
      <c r="J69" s="92">
        <v>100</v>
      </c>
      <c r="K69" s="93">
        <v>337.4</v>
      </c>
      <c r="L69" s="94">
        <v>0.93953764078245416</v>
      </c>
      <c r="M69" s="95">
        <v>119</v>
      </c>
      <c r="N69" s="96">
        <v>0.26658044164037847</v>
      </c>
      <c r="O69" s="97">
        <v>20840</v>
      </c>
      <c r="P69" s="98">
        <v>0.99890000000000001</v>
      </c>
      <c r="Q69" s="99">
        <v>10000</v>
      </c>
      <c r="R69" s="98">
        <v>0.29599999999999999</v>
      </c>
      <c r="S69" s="37" t="s">
        <v>28</v>
      </c>
      <c r="T69" s="38"/>
      <c r="U69" s="39"/>
      <c r="V69" s="124" t="str">
        <f t="shared" si="1"/>
        <v>辛耘二</v>
      </c>
      <c r="W69" s="125">
        <v>3.0000000000000001E-3</v>
      </c>
    </row>
    <row r="70" spans="1:23" s="5" customFormat="1" ht="17.25" customHeight="1" x14ac:dyDescent="0.4">
      <c r="A70" s="35" t="s">
        <v>139</v>
      </c>
      <c r="B70" s="113">
        <v>35871</v>
      </c>
      <c r="C70" s="36" t="s">
        <v>71</v>
      </c>
      <c r="D70" s="111" t="s">
        <v>73</v>
      </c>
      <c r="E70" s="89">
        <v>1.7899999999999999E-2</v>
      </c>
      <c r="F70" s="116">
        <v>2.7E-2</v>
      </c>
      <c r="G70" s="90">
        <v>46181</v>
      </c>
      <c r="H70" s="90">
        <v>46193</v>
      </c>
      <c r="I70" s="91">
        <v>0.55068493150684927</v>
      </c>
      <c r="J70" s="92">
        <v>100</v>
      </c>
      <c r="K70" s="93">
        <v>192</v>
      </c>
      <c r="L70" s="94">
        <v>1.0416666666666667</v>
      </c>
      <c r="M70" s="95">
        <v>119.05</v>
      </c>
      <c r="N70" s="96">
        <v>0.14287999999999992</v>
      </c>
      <c r="O70" s="97">
        <v>20839.999999999996</v>
      </c>
      <c r="P70" s="98">
        <v>0.75116666666666665</v>
      </c>
      <c r="Q70" s="99">
        <v>6000</v>
      </c>
      <c r="R70" s="98">
        <v>0.376</v>
      </c>
      <c r="S70" s="37" t="s">
        <v>28</v>
      </c>
      <c r="T70" s="38"/>
      <c r="U70" s="39"/>
      <c r="V70" s="124" t="str">
        <f t="shared" si="1"/>
        <v>閎康一</v>
      </c>
      <c r="W70" s="125">
        <v>3.0000000000000001E-3</v>
      </c>
    </row>
    <row r="71" spans="1:23" s="5" customFormat="1" ht="17.25" customHeight="1" x14ac:dyDescent="0.4">
      <c r="A71" s="35" t="s">
        <v>140</v>
      </c>
      <c r="B71" s="113">
        <v>36053</v>
      </c>
      <c r="C71" s="36" t="s">
        <v>71</v>
      </c>
      <c r="D71" s="111" t="s">
        <v>77</v>
      </c>
      <c r="E71" s="89">
        <v>5.5200000000000006E-2</v>
      </c>
      <c r="F71" s="116">
        <v>0.04</v>
      </c>
      <c r="G71" s="90">
        <v>46591</v>
      </c>
      <c r="H71" s="90">
        <v>46605</v>
      </c>
      <c r="I71" s="91">
        <v>1.6794520547945206</v>
      </c>
      <c r="J71" s="92">
        <v>101.50749999999999</v>
      </c>
      <c r="K71" s="93">
        <v>50.5</v>
      </c>
      <c r="L71" s="94">
        <v>1.2396039603960396</v>
      </c>
      <c r="M71" s="95">
        <v>126</v>
      </c>
      <c r="N71" s="96">
        <v>1.645367412140572E-2</v>
      </c>
      <c r="O71" s="97">
        <v>31520.000000000004</v>
      </c>
      <c r="P71" s="98">
        <v>0.13569999999999999</v>
      </c>
      <c r="Q71" s="99">
        <v>10000</v>
      </c>
      <c r="R71" s="98">
        <v>0.30499999999999999</v>
      </c>
      <c r="S71" s="37" t="s">
        <v>28</v>
      </c>
      <c r="T71" s="38"/>
      <c r="U71" s="39"/>
      <c r="V71" s="124" t="str">
        <f t="shared" si="1"/>
        <v>宏致三</v>
      </c>
      <c r="W71" s="125">
        <v>3.0000000000000001E-3</v>
      </c>
    </row>
    <row r="72" spans="1:23" s="5" customFormat="1" ht="17.25" customHeight="1" x14ac:dyDescent="0.4">
      <c r="A72" s="35" t="s">
        <v>141</v>
      </c>
      <c r="B72" s="113">
        <v>36173</v>
      </c>
      <c r="C72" s="36" t="s">
        <v>71</v>
      </c>
      <c r="D72" s="111" t="s">
        <v>73</v>
      </c>
      <c r="E72" s="89">
        <v>7.4200000000000002E-2</v>
      </c>
      <c r="F72" s="116">
        <v>2.8000000000000001E-2</v>
      </c>
      <c r="G72" s="90">
        <v>46906</v>
      </c>
      <c r="H72" s="90">
        <v>46920</v>
      </c>
      <c r="I72" s="91">
        <v>2.5424657534246577</v>
      </c>
      <c r="J72" s="92">
        <v>100</v>
      </c>
      <c r="K72" s="93">
        <v>287.3</v>
      </c>
      <c r="L72" s="94">
        <v>0.7100591715976331</v>
      </c>
      <c r="M72" s="95">
        <v>108</v>
      </c>
      <c r="N72" s="96">
        <v>0.52100000000000002</v>
      </c>
      <c r="O72" s="97">
        <v>15420</v>
      </c>
      <c r="P72" s="98">
        <v>1</v>
      </c>
      <c r="Q72" s="99">
        <v>15000</v>
      </c>
      <c r="R72" s="98">
        <v>0.46</v>
      </c>
      <c r="S72" s="37" t="s">
        <v>28</v>
      </c>
      <c r="T72" s="38"/>
      <c r="U72" s="39"/>
      <c r="V72" s="124" t="str">
        <f t="shared" si="1"/>
        <v>碩天三</v>
      </c>
      <c r="W72" s="125">
        <v>3.0000000000000001E-3</v>
      </c>
    </row>
    <row r="73" spans="1:23" s="5" customFormat="1" ht="17.25" customHeight="1" x14ac:dyDescent="0.4">
      <c r="A73" s="35" t="s">
        <v>142</v>
      </c>
      <c r="B73" s="113">
        <v>36804</v>
      </c>
      <c r="C73" s="36" t="s">
        <v>71</v>
      </c>
      <c r="D73" s="111" t="s">
        <v>77</v>
      </c>
      <c r="E73" s="89">
        <v>2.9399999999999999E-2</v>
      </c>
      <c r="F73" s="116">
        <v>0.03</v>
      </c>
      <c r="G73" s="90">
        <v>46300</v>
      </c>
      <c r="H73" s="90">
        <v>46313</v>
      </c>
      <c r="I73" s="91">
        <v>0.8794520547945206</v>
      </c>
      <c r="J73" s="92">
        <v>100</v>
      </c>
      <c r="K73" s="93">
        <v>356</v>
      </c>
      <c r="L73" s="94">
        <v>0.9662921348314607</v>
      </c>
      <c r="M73" s="95">
        <v>116.1</v>
      </c>
      <c r="N73" s="96">
        <v>0.20149999999999985</v>
      </c>
      <c r="O73" s="97">
        <v>19039.999999999996</v>
      </c>
      <c r="P73" s="98">
        <v>0.35610000000000003</v>
      </c>
      <c r="Q73" s="99">
        <v>10000</v>
      </c>
      <c r="R73" s="98">
        <v>0.36599999999999999</v>
      </c>
      <c r="S73" s="37" t="s">
        <v>28</v>
      </c>
      <c r="T73" s="38"/>
      <c r="U73" s="39"/>
      <c r="V73" s="124" t="str">
        <f t="shared" si="1"/>
        <v>家登四</v>
      </c>
      <c r="W73" s="125">
        <v>3.0000000000000001E-3</v>
      </c>
    </row>
    <row r="74" spans="1:23" s="5" customFormat="1" ht="17.25" customHeight="1" x14ac:dyDescent="0.4">
      <c r="A74" s="35" t="s">
        <v>143</v>
      </c>
      <c r="B74" s="113">
        <v>36841</v>
      </c>
      <c r="C74" s="36" t="s">
        <v>71</v>
      </c>
      <c r="D74" s="111" t="s">
        <v>69</v>
      </c>
      <c r="E74" s="89">
        <v>5.9200000000000003E-2</v>
      </c>
      <c r="F74" s="116">
        <v>0.04</v>
      </c>
      <c r="G74" s="90">
        <v>46674</v>
      </c>
      <c r="H74" s="90">
        <v>46688</v>
      </c>
      <c r="I74" s="91">
        <v>1.9068493150684931</v>
      </c>
      <c r="J74" s="92">
        <v>102.01</v>
      </c>
      <c r="K74" s="93">
        <v>50.7</v>
      </c>
      <c r="L74" s="94">
        <v>0.94477317554240625</v>
      </c>
      <c r="M74" s="95">
        <v>113.5</v>
      </c>
      <c r="N74" s="96">
        <v>0.20134655532359086</v>
      </c>
      <c r="O74" s="97">
        <v>19420</v>
      </c>
      <c r="P74" s="98">
        <v>1</v>
      </c>
      <c r="Q74" s="99">
        <v>3000</v>
      </c>
      <c r="R74" s="98">
        <v>0.65300000000000002</v>
      </c>
      <c r="S74" s="37" t="s">
        <v>28</v>
      </c>
      <c r="T74" s="38"/>
      <c r="U74" s="40"/>
      <c r="V74" s="124" t="str">
        <f t="shared" si="1"/>
        <v>榮昌一</v>
      </c>
      <c r="W74" s="125">
        <v>3.0000000000000001E-3</v>
      </c>
    </row>
    <row r="75" spans="1:23" s="5" customFormat="1" ht="17.25" customHeight="1" x14ac:dyDescent="0.4">
      <c r="A75" s="35" t="s">
        <v>144</v>
      </c>
      <c r="B75" s="113">
        <v>36913</v>
      </c>
      <c r="C75" s="36" t="s">
        <v>145</v>
      </c>
      <c r="D75" s="111" t="s">
        <v>67</v>
      </c>
      <c r="E75" s="89">
        <v>4.1400000000000006E-2</v>
      </c>
      <c r="F75" s="116">
        <v>2.1999999999999999E-2</v>
      </c>
      <c r="G75" s="90">
        <v>46615</v>
      </c>
      <c r="H75" s="90">
        <v>46629</v>
      </c>
      <c r="I75" s="91">
        <v>1.7452054794520548</v>
      </c>
      <c r="J75" s="92">
        <v>100</v>
      </c>
      <c r="K75" s="93">
        <v>118</v>
      </c>
      <c r="L75" s="94">
        <v>0.61440677966101698</v>
      </c>
      <c r="M75" s="95">
        <v>100.3</v>
      </c>
      <c r="N75" s="96">
        <v>0.6324689655172413</v>
      </c>
      <c r="O75" s="97">
        <v>4439.9999999999982</v>
      </c>
      <c r="P75" s="98">
        <v>1</v>
      </c>
      <c r="Q75" s="99">
        <v>20000</v>
      </c>
      <c r="R75" s="98">
        <v>0.36</v>
      </c>
      <c r="S75" s="37" t="s">
        <v>27</v>
      </c>
      <c r="T75" s="38"/>
      <c r="U75" s="39"/>
      <c r="V75" s="124" t="str">
        <f t="shared" si="1"/>
        <v>碩禾三</v>
      </c>
      <c r="W75" s="125">
        <v>3.0000000000000001E-3</v>
      </c>
    </row>
    <row r="76" spans="1:23" s="5" customFormat="1" ht="17.25" customHeight="1" x14ac:dyDescent="0.4">
      <c r="A76" s="35" t="s">
        <v>146</v>
      </c>
      <c r="B76" s="113">
        <v>37022</v>
      </c>
      <c r="C76" s="36" t="s">
        <v>71</v>
      </c>
      <c r="D76" s="111" t="s">
        <v>73</v>
      </c>
      <c r="E76" s="89">
        <v>6.1400000000000003E-2</v>
      </c>
      <c r="F76" s="116">
        <v>0.03</v>
      </c>
      <c r="G76" s="90">
        <v>46688</v>
      </c>
      <c r="H76" s="90">
        <v>46702</v>
      </c>
      <c r="I76" s="91">
        <v>1.9452054794520548</v>
      </c>
      <c r="J76" s="92">
        <v>100</v>
      </c>
      <c r="K76" s="93">
        <v>76.900000000000006</v>
      </c>
      <c r="L76" s="94">
        <v>0.8881664499349804</v>
      </c>
      <c r="M76" s="95">
        <v>102.85</v>
      </c>
      <c r="N76" s="96">
        <v>0.15800366032210833</v>
      </c>
      <c r="O76" s="97">
        <v>8989.9999999999945</v>
      </c>
      <c r="P76" s="98">
        <v>1</v>
      </c>
      <c r="Q76" s="99">
        <v>35000</v>
      </c>
      <c r="R76" s="98">
        <v>0.28699999999999998</v>
      </c>
      <c r="S76" s="37" t="s">
        <v>28</v>
      </c>
      <c r="T76" s="38"/>
      <c r="U76" s="39"/>
      <c r="V76" s="124" t="str">
        <f t="shared" si="1"/>
        <v>大聯大二</v>
      </c>
      <c r="W76" s="125">
        <v>3.0000000000000001E-3</v>
      </c>
    </row>
    <row r="77" spans="1:23" s="5" customFormat="1" ht="17.25" customHeight="1" x14ac:dyDescent="0.4">
      <c r="A77" s="35" t="s">
        <v>147</v>
      </c>
      <c r="B77" s="113">
        <v>37023</v>
      </c>
      <c r="C77" s="36" t="s">
        <v>71</v>
      </c>
      <c r="D77" s="111" t="s">
        <v>73</v>
      </c>
      <c r="E77" s="89">
        <v>6.2200000000000005E-2</v>
      </c>
      <c r="F77" s="116">
        <v>0.03</v>
      </c>
      <c r="G77" s="90">
        <v>46699</v>
      </c>
      <c r="H77" s="90">
        <v>46712</v>
      </c>
      <c r="I77" s="91">
        <v>1.9726027397260273</v>
      </c>
      <c r="J77" s="92">
        <v>100</v>
      </c>
      <c r="K77" s="93">
        <v>74.599999999999994</v>
      </c>
      <c r="L77" s="94">
        <v>0.91554959785522794</v>
      </c>
      <c r="M77" s="95">
        <v>103.5</v>
      </c>
      <c r="N77" s="96">
        <v>0.13046852122986813</v>
      </c>
      <c r="O77" s="97">
        <v>9720</v>
      </c>
      <c r="P77" s="98">
        <v>1</v>
      </c>
      <c r="Q77" s="99">
        <v>20000</v>
      </c>
      <c r="R77" s="98">
        <v>0.28699999999999998</v>
      </c>
      <c r="S77" s="37" t="s">
        <v>28</v>
      </c>
      <c r="T77" s="38"/>
      <c r="U77" s="39"/>
      <c r="V77" s="124" t="str">
        <f t="shared" si="1"/>
        <v>大聯大三</v>
      </c>
      <c r="W77" s="125">
        <v>3.0000000000000001E-3</v>
      </c>
    </row>
    <row r="78" spans="1:23" s="5" customFormat="1" ht="17.25" customHeight="1" x14ac:dyDescent="0.4">
      <c r="A78" s="35" t="s">
        <v>148</v>
      </c>
      <c r="B78" s="113">
        <v>37083</v>
      </c>
      <c r="C78" s="36" t="s">
        <v>149</v>
      </c>
      <c r="D78" s="111" t="s">
        <v>69</v>
      </c>
      <c r="E78" s="89">
        <v>2.1099999999999997E-2</v>
      </c>
      <c r="F78" s="116">
        <v>2.1999999999999999E-2</v>
      </c>
      <c r="G78" s="90">
        <v>46279</v>
      </c>
      <c r="H78" s="90">
        <v>46292</v>
      </c>
      <c r="I78" s="91">
        <v>0.82191780821917804</v>
      </c>
      <c r="J78" s="92">
        <v>100</v>
      </c>
      <c r="K78" s="93">
        <v>86.4</v>
      </c>
      <c r="L78" s="94">
        <v>1.255787037037037</v>
      </c>
      <c r="M78" s="95">
        <v>141</v>
      </c>
      <c r="N78" s="96">
        <v>0.12280184331797242</v>
      </c>
      <c r="O78" s="97">
        <v>43110</v>
      </c>
      <c r="P78" s="98">
        <v>0.30370000000000003</v>
      </c>
      <c r="Q78" s="99">
        <v>10000</v>
      </c>
      <c r="R78" s="98">
        <v>0.68100000000000005</v>
      </c>
      <c r="S78" s="37" t="s">
        <v>27</v>
      </c>
      <c r="T78" s="38" t="s">
        <v>3</v>
      </c>
      <c r="U78" s="39"/>
      <c r="V78" s="124" t="str">
        <f t="shared" si="1"/>
        <v>上緯投控三</v>
      </c>
      <c r="W78" s="125">
        <v>3.0000000000000001E-3</v>
      </c>
    </row>
    <row r="79" spans="1:23" s="5" customFormat="1" ht="17.25" customHeight="1" x14ac:dyDescent="0.4">
      <c r="A79" s="35" t="s">
        <v>150</v>
      </c>
      <c r="B79" s="113">
        <v>41135</v>
      </c>
      <c r="C79" s="36" t="s">
        <v>151</v>
      </c>
      <c r="D79" s="111" t="s">
        <v>67</v>
      </c>
      <c r="E79" s="89">
        <v>7.2800000000000004E-2</v>
      </c>
      <c r="F79" s="116">
        <v>2.4E-2</v>
      </c>
      <c r="G79" s="90">
        <v>47039</v>
      </c>
      <c r="H79" s="90">
        <v>47053</v>
      </c>
      <c r="I79" s="91">
        <v>2.9068493150684933</v>
      </c>
      <c r="J79" s="92">
        <v>100</v>
      </c>
      <c r="K79" s="93">
        <v>26.3</v>
      </c>
      <c r="L79" s="94">
        <v>0.80418250950570336</v>
      </c>
      <c r="M79" s="95">
        <v>105.55</v>
      </c>
      <c r="N79" s="96">
        <v>0.31251300236406621</v>
      </c>
      <c r="O79" s="97">
        <v>12829.999999999996</v>
      </c>
      <c r="P79" s="98">
        <v>1</v>
      </c>
      <c r="Q79" s="99">
        <v>4000</v>
      </c>
      <c r="R79" s="98">
        <v>0.191</v>
      </c>
      <c r="S79" s="37" t="s">
        <v>28</v>
      </c>
      <c r="T79" s="38"/>
      <c r="U79" s="40"/>
      <c r="V79" s="124" t="str">
        <f t="shared" si="1"/>
        <v>聯上五</v>
      </c>
      <c r="W79" s="125">
        <v>3.0000000000000001E-3</v>
      </c>
    </row>
    <row r="80" spans="1:23" s="5" customFormat="1" ht="17.25" customHeight="1" x14ac:dyDescent="0.4">
      <c r="A80" s="35" t="s">
        <v>152</v>
      </c>
      <c r="B80" s="113">
        <v>41236</v>
      </c>
      <c r="C80" s="36" t="s">
        <v>153</v>
      </c>
      <c r="D80" s="111" t="s">
        <v>69</v>
      </c>
      <c r="E80" s="89">
        <v>5.5900000000000005E-2</v>
      </c>
      <c r="F80" s="116">
        <v>2.1999999999999999E-2</v>
      </c>
      <c r="G80" s="90">
        <v>46855</v>
      </c>
      <c r="H80" s="90">
        <v>46869</v>
      </c>
      <c r="I80" s="91">
        <v>2.4027397260273973</v>
      </c>
      <c r="J80" s="92">
        <v>100</v>
      </c>
      <c r="K80" s="93">
        <v>38.6</v>
      </c>
      <c r="L80" s="94">
        <v>0.98316062176165819</v>
      </c>
      <c r="M80" s="95">
        <v>113.5</v>
      </c>
      <c r="N80" s="96">
        <v>0.15444005270092212</v>
      </c>
      <c r="O80" s="97">
        <v>19090</v>
      </c>
      <c r="P80" s="98">
        <v>0.90885714285714281</v>
      </c>
      <c r="Q80" s="99">
        <v>7000</v>
      </c>
      <c r="R80" s="98">
        <v>0.35199999999999998</v>
      </c>
      <c r="S80" s="37" t="s">
        <v>27</v>
      </c>
      <c r="T80" s="38"/>
      <c r="U80" s="39"/>
      <c r="V80" s="124" t="str">
        <f t="shared" si="1"/>
        <v>晟德六</v>
      </c>
      <c r="W80" s="125">
        <v>3.0000000000000001E-3</v>
      </c>
    </row>
    <row r="81" spans="1:23" s="5" customFormat="1" ht="17.25" customHeight="1" x14ac:dyDescent="0.4">
      <c r="A81" s="35" t="s">
        <v>154</v>
      </c>
      <c r="B81" s="113">
        <v>41295</v>
      </c>
      <c r="C81" s="36" t="s">
        <v>71</v>
      </c>
      <c r="D81" s="111" t="s">
        <v>69</v>
      </c>
      <c r="E81" s="89">
        <v>8.1500000000000003E-2</v>
      </c>
      <c r="F81" s="116">
        <v>3.7499999999999999E-2</v>
      </c>
      <c r="G81" s="90">
        <v>46888</v>
      </c>
      <c r="H81" s="90">
        <v>46902</v>
      </c>
      <c r="I81" s="91">
        <v>2.493150684931507</v>
      </c>
      <c r="J81" s="92">
        <v>101.50749999999999</v>
      </c>
      <c r="K81" s="93">
        <v>105.6</v>
      </c>
      <c r="L81" s="94">
        <v>1.1458333333333335</v>
      </c>
      <c r="M81" s="95">
        <v>124.5</v>
      </c>
      <c r="N81" s="96">
        <v>8.6545454545454453E-2</v>
      </c>
      <c r="O81" s="97">
        <v>32650</v>
      </c>
      <c r="P81" s="98">
        <v>0.99985714285714289</v>
      </c>
      <c r="Q81" s="99">
        <v>7000</v>
      </c>
      <c r="R81" s="98">
        <v>0.34399999999999997</v>
      </c>
      <c r="S81" s="37" t="s">
        <v>28</v>
      </c>
      <c r="T81" s="38"/>
      <c r="U81" s="39"/>
      <c r="V81" s="124" t="str">
        <f t="shared" si="1"/>
        <v>聯合五</v>
      </c>
      <c r="W81" s="125">
        <v>3.0000000000000001E-3</v>
      </c>
    </row>
    <row r="82" spans="1:23" s="5" customFormat="1" ht="17.25" customHeight="1" x14ac:dyDescent="0.4">
      <c r="A82" s="35" t="s">
        <v>155</v>
      </c>
      <c r="B82" s="113">
        <v>41645</v>
      </c>
      <c r="C82" s="36" t="s">
        <v>71</v>
      </c>
      <c r="D82" s="111" t="s">
        <v>69</v>
      </c>
      <c r="E82" s="89">
        <v>0.10410000000000001</v>
      </c>
      <c r="F82" s="116">
        <v>4.2500000000000003E-2</v>
      </c>
      <c r="G82" s="90">
        <v>46910</v>
      </c>
      <c r="H82" s="90">
        <v>46924</v>
      </c>
      <c r="I82" s="91">
        <v>2.5534246575342467</v>
      </c>
      <c r="J82" s="92">
        <v>100.752</v>
      </c>
      <c r="K82" s="93">
        <v>47</v>
      </c>
      <c r="L82" s="94">
        <v>0.8319148936170212</v>
      </c>
      <c r="M82" s="95">
        <v>109.05</v>
      </c>
      <c r="N82" s="96">
        <v>0.31083120204603581</v>
      </c>
      <c r="O82" s="97">
        <v>19460</v>
      </c>
      <c r="P82" s="98">
        <v>1</v>
      </c>
      <c r="Q82" s="99">
        <v>9000</v>
      </c>
      <c r="R82" s="98">
        <v>0.33700000000000002</v>
      </c>
      <c r="S82" s="37" t="s">
        <v>28</v>
      </c>
      <c r="T82" s="38"/>
      <c r="U82" s="39"/>
      <c r="V82" s="124" t="str">
        <f t="shared" si="1"/>
        <v>承業醫五</v>
      </c>
      <c r="W82" s="125">
        <v>3.0000000000000001E-3</v>
      </c>
    </row>
    <row r="83" spans="1:23" s="5" customFormat="1" ht="17.25" customHeight="1" x14ac:dyDescent="0.4">
      <c r="A83" s="35" t="s">
        <v>156</v>
      </c>
      <c r="B83" s="113">
        <v>41684</v>
      </c>
      <c r="C83" s="36" t="s">
        <v>157</v>
      </c>
      <c r="D83" s="111" t="s">
        <v>67</v>
      </c>
      <c r="E83" s="89">
        <v>6.4600000000000005E-2</v>
      </c>
      <c r="F83" s="116">
        <v>2.1999999999999999E-2</v>
      </c>
      <c r="G83" s="90">
        <v>47000</v>
      </c>
      <c r="H83" s="90">
        <v>47014</v>
      </c>
      <c r="I83" s="91">
        <v>2.8</v>
      </c>
      <c r="J83" s="92">
        <v>100</v>
      </c>
      <c r="K83" s="93">
        <v>23.91</v>
      </c>
      <c r="L83" s="94">
        <v>0.90129652864910081</v>
      </c>
      <c r="M83" s="95">
        <v>109.5</v>
      </c>
      <c r="N83" s="96">
        <v>0.21491647331786534</v>
      </c>
      <c r="O83" s="97">
        <v>15960.000000000002</v>
      </c>
      <c r="P83" s="98">
        <v>1</v>
      </c>
      <c r="Q83" s="99">
        <v>5000</v>
      </c>
      <c r="R83" s="98">
        <v>0.21299999999999999</v>
      </c>
      <c r="S83" s="37" t="s">
        <v>28</v>
      </c>
      <c r="T83" s="38"/>
      <c r="U83" s="39"/>
      <c r="V83" s="124" t="str">
        <f t="shared" si="1"/>
        <v>醣聯四</v>
      </c>
      <c r="W83" s="125">
        <v>3.0000000000000001E-3</v>
      </c>
    </row>
    <row r="84" spans="1:23" s="5" customFormat="1" ht="17.25" customHeight="1" x14ac:dyDescent="0.4">
      <c r="A84" s="35" t="s">
        <v>158</v>
      </c>
      <c r="B84" s="113">
        <v>44163</v>
      </c>
      <c r="C84" s="36" t="s">
        <v>149</v>
      </c>
      <c r="D84" s="111" t="s">
        <v>62</v>
      </c>
      <c r="E84" s="89">
        <v>1.1000000000000001E-3</v>
      </c>
      <c r="F84" s="116">
        <v>2.1999999999999999E-2</v>
      </c>
      <c r="G84" s="90">
        <v>46281</v>
      </c>
      <c r="H84" s="90">
        <v>46295</v>
      </c>
      <c r="I84" s="91">
        <v>0.83013698630136989</v>
      </c>
      <c r="J84" s="92">
        <v>102.01</v>
      </c>
      <c r="K84" s="93">
        <v>65.7</v>
      </c>
      <c r="L84" s="94">
        <v>0.50761035007610356</v>
      </c>
      <c r="M84" s="95">
        <v>103.5</v>
      </c>
      <c r="N84" s="96">
        <v>1.0389655172413792</v>
      </c>
      <c r="O84" s="97">
        <v>3610</v>
      </c>
      <c r="P84" s="98">
        <v>0.95589999999999997</v>
      </c>
      <c r="Q84" s="99">
        <v>10000</v>
      </c>
      <c r="R84" s="98">
        <v>0.51700000000000002</v>
      </c>
      <c r="S84" s="37" t="s">
        <v>27</v>
      </c>
      <c r="T84" s="38"/>
      <c r="U84" s="39"/>
      <c r="V84" s="124" t="str">
        <f t="shared" si="1"/>
        <v>三圓三</v>
      </c>
      <c r="W84" s="125">
        <v>3.0000000000000001E-3</v>
      </c>
    </row>
    <row r="85" spans="1:23" s="5" customFormat="1" ht="17.25" customHeight="1" x14ac:dyDescent="0.4">
      <c r="A85" s="35" t="s">
        <v>159</v>
      </c>
      <c r="B85" s="113">
        <v>44383</v>
      </c>
      <c r="C85" s="36" t="s">
        <v>71</v>
      </c>
      <c r="D85" s="111" t="s">
        <v>73</v>
      </c>
      <c r="E85" s="89">
        <v>8.8000000000000009E-2</v>
      </c>
      <c r="F85" s="116">
        <v>0.03</v>
      </c>
      <c r="G85" s="90">
        <v>47014</v>
      </c>
      <c r="H85" s="90">
        <v>47026</v>
      </c>
      <c r="I85" s="91">
        <v>2.8328767123287673</v>
      </c>
      <c r="J85" s="92">
        <v>100</v>
      </c>
      <c r="K85" s="93">
        <v>75</v>
      </c>
      <c r="L85" s="94">
        <v>1.1093333333333333</v>
      </c>
      <c r="M85" s="95">
        <v>114.4</v>
      </c>
      <c r="N85" s="96">
        <v>3.1250000000000146E-2</v>
      </c>
      <c r="O85" s="97">
        <v>23200.000000000004</v>
      </c>
      <c r="P85" s="98">
        <v>1</v>
      </c>
      <c r="Q85" s="99">
        <v>8000</v>
      </c>
      <c r="R85" s="98">
        <v>0.45400000000000001</v>
      </c>
      <c r="S85" s="37" t="s">
        <v>27</v>
      </c>
      <c r="T85" s="38" t="s">
        <v>3</v>
      </c>
      <c r="U85" s="39"/>
      <c r="V85" s="124" t="str">
        <f t="shared" si="1"/>
        <v>廣越三</v>
      </c>
      <c r="W85" s="125">
        <v>3.0000000000000001E-3</v>
      </c>
    </row>
    <row r="86" spans="1:23" s="5" customFormat="1" ht="17.25" customHeight="1" x14ac:dyDescent="0.4">
      <c r="A86" s="35" t="s">
        <v>160</v>
      </c>
      <c r="B86" s="113">
        <v>45491</v>
      </c>
      <c r="C86" s="36" t="s">
        <v>71</v>
      </c>
      <c r="D86" s="111" t="s">
        <v>77</v>
      </c>
      <c r="E86" s="89">
        <v>8.0399999999999999E-2</v>
      </c>
      <c r="F86" s="116">
        <v>0.04</v>
      </c>
      <c r="G86" s="90">
        <v>46685</v>
      </c>
      <c r="H86" s="90">
        <v>46698</v>
      </c>
      <c r="I86" s="91">
        <v>1.9342465753424658</v>
      </c>
      <c r="J86" s="92">
        <v>100</v>
      </c>
      <c r="K86" s="93">
        <v>154.4</v>
      </c>
      <c r="L86" s="94">
        <v>0.75129533678756477</v>
      </c>
      <c r="M86" s="95">
        <v>109.95</v>
      </c>
      <c r="N86" s="96">
        <v>0.46347241379310355</v>
      </c>
      <c r="O86" s="97">
        <v>17990.000000000004</v>
      </c>
      <c r="P86" s="98">
        <v>1</v>
      </c>
      <c r="Q86" s="99">
        <v>5000</v>
      </c>
      <c r="R86" s="98">
        <v>0.623</v>
      </c>
      <c r="S86" s="37" t="s">
        <v>27</v>
      </c>
      <c r="T86" s="38"/>
      <c r="U86" s="39"/>
      <c r="V86" s="124" t="str">
        <f t="shared" si="1"/>
        <v>桓達一</v>
      </c>
      <c r="W86" s="125">
        <v>3.0000000000000001E-3</v>
      </c>
    </row>
    <row r="87" spans="1:23" s="5" customFormat="1" ht="17.25" customHeight="1" x14ac:dyDescent="0.4">
      <c r="A87" s="35" t="s">
        <v>161</v>
      </c>
      <c r="B87" s="113">
        <v>45554</v>
      </c>
      <c r="C87" s="36" t="s">
        <v>162</v>
      </c>
      <c r="D87" s="111" t="s">
        <v>67</v>
      </c>
      <c r="E87" s="89">
        <v>5.8600000000000006E-2</v>
      </c>
      <c r="F87" s="116">
        <v>2.1999999999999999E-2</v>
      </c>
      <c r="G87" s="90">
        <v>46899</v>
      </c>
      <c r="H87" s="90">
        <v>46913</v>
      </c>
      <c r="I87" s="91">
        <v>2.5232876712328767</v>
      </c>
      <c r="J87" s="92">
        <v>100</v>
      </c>
      <c r="K87" s="93">
        <v>43.4</v>
      </c>
      <c r="L87" s="94">
        <v>0.96313364055299533</v>
      </c>
      <c r="M87" s="95">
        <v>111.9</v>
      </c>
      <c r="N87" s="96">
        <v>0.16183253588516763</v>
      </c>
      <c r="O87" s="97">
        <v>17760.000000000007</v>
      </c>
      <c r="P87" s="98">
        <v>1</v>
      </c>
      <c r="Q87" s="99">
        <v>5000</v>
      </c>
      <c r="R87" s="98">
        <v>0.34</v>
      </c>
      <c r="S87" s="37" t="s">
        <v>27</v>
      </c>
      <c r="T87" s="38"/>
      <c r="U87" s="39"/>
      <c r="V87" s="124" t="str">
        <f t="shared" si="1"/>
        <v>氣立四</v>
      </c>
      <c r="W87" s="125">
        <v>3.0000000000000001E-3</v>
      </c>
    </row>
    <row r="88" spans="1:23" s="5" customFormat="1" ht="17.25" customHeight="1" x14ac:dyDescent="0.4">
      <c r="A88" s="35" t="s">
        <v>163</v>
      </c>
      <c r="B88" s="113">
        <v>45581</v>
      </c>
      <c r="C88" s="36" t="s">
        <v>164</v>
      </c>
      <c r="D88" s="111" t="s">
        <v>62</v>
      </c>
      <c r="E88" s="89">
        <v>6.3399999999999998E-2</v>
      </c>
      <c r="F88" s="116">
        <v>2.1999999999999999E-2</v>
      </c>
      <c r="G88" s="90">
        <v>46979</v>
      </c>
      <c r="H88" s="90">
        <v>46993</v>
      </c>
      <c r="I88" s="91">
        <v>2.7424657534246575</v>
      </c>
      <c r="J88" s="92">
        <v>100</v>
      </c>
      <c r="K88" s="93">
        <v>29.8</v>
      </c>
      <c r="L88" s="94">
        <v>0.67617449664429519</v>
      </c>
      <c r="M88" s="95">
        <v>102.1</v>
      </c>
      <c r="N88" s="96">
        <v>0.50996526054590596</v>
      </c>
      <c r="O88" s="97">
        <v>8439.9999999999945</v>
      </c>
      <c r="P88" s="98">
        <v>1</v>
      </c>
      <c r="Q88" s="99">
        <v>3000</v>
      </c>
      <c r="R88" s="98">
        <v>0.35399999999999998</v>
      </c>
      <c r="S88" s="37" t="s">
        <v>27</v>
      </c>
      <c r="T88" s="38"/>
      <c r="U88" s="39"/>
      <c r="V88" s="124" t="str">
        <f t="shared" si="1"/>
        <v>寶緯一</v>
      </c>
      <c r="W88" s="125">
        <v>3.0000000000000001E-3</v>
      </c>
    </row>
    <row r="89" spans="1:23" s="5" customFormat="1" ht="21" customHeight="1" x14ac:dyDescent="0.4">
      <c r="A89" s="35" t="s">
        <v>165</v>
      </c>
      <c r="B89" s="113">
        <v>45721</v>
      </c>
      <c r="C89" s="36" t="s">
        <v>71</v>
      </c>
      <c r="D89" s="111" t="s">
        <v>69</v>
      </c>
      <c r="E89" s="89">
        <v>2.64E-2</v>
      </c>
      <c r="F89" s="116">
        <v>3.7499999999999999E-2</v>
      </c>
      <c r="G89" s="90">
        <v>46205</v>
      </c>
      <c r="H89" s="90">
        <v>46219</v>
      </c>
      <c r="I89" s="91">
        <v>0.62191780821917808</v>
      </c>
      <c r="J89" s="92">
        <v>100</v>
      </c>
      <c r="K89" s="93">
        <v>160.6</v>
      </c>
      <c r="L89" s="94">
        <v>0.96513075965130768</v>
      </c>
      <c r="M89" s="95">
        <v>108.05</v>
      </c>
      <c r="N89" s="96">
        <v>0.11953741935483859</v>
      </c>
      <c r="O89" s="97">
        <v>10689.999999999996</v>
      </c>
      <c r="P89" s="98">
        <v>1</v>
      </c>
      <c r="Q89" s="99">
        <v>5000</v>
      </c>
      <c r="R89" s="98">
        <v>0.28799999999999998</v>
      </c>
      <c r="S89" s="37" t="s">
        <v>28</v>
      </c>
      <c r="T89" s="38"/>
      <c r="U89" s="39"/>
      <c r="V89" s="124" t="str">
        <f t="shared" si="1"/>
        <v>駐龍一</v>
      </c>
      <c r="W89" s="125">
        <v>3.0000000000000001E-3</v>
      </c>
    </row>
    <row r="90" spans="1:23" s="5" customFormat="1" ht="21" customHeight="1" x14ac:dyDescent="0.4">
      <c r="A90" s="35" t="s">
        <v>166</v>
      </c>
      <c r="B90" s="113">
        <v>47223</v>
      </c>
      <c r="C90" s="36" t="s">
        <v>71</v>
      </c>
      <c r="D90" s="111" t="s">
        <v>77</v>
      </c>
      <c r="E90" s="89">
        <v>8.8100000000000012E-2</v>
      </c>
      <c r="F90" s="116">
        <v>0.03</v>
      </c>
      <c r="G90" s="90">
        <v>47014</v>
      </c>
      <c r="H90" s="90">
        <v>47027</v>
      </c>
      <c r="I90" s="91">
        <v>2.8356164383561642</v>
      </c>
      <c r="J90" s="92">
        <v>100</v>
      </c>
      <c r="K90" s="93">
        <v>141.30000000000001</v>
      </c>
      <c r="L90" s="94">
        <v>1.2561924982307147</v>
      </c>
      <c r="M90" s="95">
        <v>137</v>
      </c>
      <c r="N90" s="96">
        <v>9.0597183098591619E-2</v>
      </c>
      <c r="O90" s="97">
        <v>45810</v>
      </c>
      <c r="P90" s="98">
        <v>1</v>
      </c>
      <c r="Q90" s="99">
        <v>5000</v>
      </c>
      <c r="R90" s="98">
        <v>0.67100000000000004</v>
      </c>
      <c r="S90" s="37" t="s">
        <v>28</v>
      </c>
      <c r="T90" s="38"/>
      <c r="U90" s="39"/>
      <c r="V90" s="124" t="str">
        <f t="shared" si="1"/>
        <v>國精化三</v>
      </c>
      <c r="W90" s="125">
        <v>3.0000000000000001E-3</v>
      </c>
    </row>
    <row r="91" spans="1:23" s="5" customFormat="1" ht="17.25" customHeight="1" x14ac:dyDescent="0.4">
      <c r="A91" s="35" t="s">
        <v>167</v>
      </c>
      <c r="B91" s="113">
        <v>47393</v>
      </c>
      <c r="C91" s="36" t="s">
        <v>168</v>
      </c>
      <c r="D91" s="111" t="s">
        <v>77</v>
      </c>
      <c r="E91" s="89">
        <v>2.3E-2</v>
      </c>
      <c r="F91" s="116">
        <v>2.1999999999999999E-2</v>
      </c>
      <c r="G91" s="90">
        <v>46309</v>
      </c>
      <c r="H91" s="90">
        <v>46323</v>
      </c>
      <c r="I91" s="91">
        <v>0.9068493150684932</v>
      </c>
      <c r="J91" s="92">
        <v>100</v>
      </c>
      <c r="K91" s="93">
        <v>98.5</v>
      </c>
      <c r="L91" s="94">
        <v>0.69137055837563433</v>
      </c>
      <c r="M91" s="95">
        <v>104.2</v>
      </c>
      <c r="N91" s="96">
        <v>0.50715124816446433</v>
      </c>
      <c r="O91" s="97">
        <v>6500.0000000000027</v>
      </c>
      <c r="P91" s="98">
        <v>0.9921428571428571</v>
      </c>
      <c r="Q91" s="99">
        <v>7000</v>
      </c>
      <c r="R91" s="98">
        <v>0.33300000000000002</v>
      </c>
      <c r="S91" s="37" t="s">
        <v>27</v>
      </c>
      <c r="T91" s="38"/>
      <c r="U91" s="39"/>
      <c r="V91" s="124" t="str">
        <f t="shared" si="1"/>
        <v>康普三</v>
      </c>
      <c r="W91" s="125">
        <v>3.0000000000000001E-3</v>
      </c>
    </row>
    <row r="92" spans="1:23" s="5" customFormat="1" ht="17.25" customHeight="1" x14ac:dyDescent="0.4">
      <c r="A92" s="35" t="s">
        <v>169</v>
      </c>
      <c r="B92" s="113">
        <v>49066</v>
      </c>
      <c r="C92" s="36" t="s">
        <v>71</v>
      </c>
      <c r="D92" s="111" t="s">
        <v>77</v>
      </c>
      <c r="E92" s="89">
        <v>2.06E-2</v>
      </c>
      <c r="F92" s="116">
        <v>3.5000000000000003E-2</v>
      </c>
      <c r="G92" s="90">
        <v>46161</v>
      </c>
      <c r="H92" s="90">
        <v>46175</v>
      </c>
      <c r="I92" s="91">
        <v>0.50136986301369868</v>
      </c>
      <c r="J92" s="92">
        <v>100</v>
      </c>
      <c r="K92" s="93">
        <v>26.6</v>
      </c>
      <c r="L92" s="94">
        <v>0.99248120300751874</v>
      </c>
      <c r="M92" s="95">
        <v>113.5</v>
      </c>
      <c r="N92" s="96">
        <v>0.14359848484848486</v>
      </c>
      <c r="O92" s="97">
        <v>15560.000000000002</v>
      </c>
      <c r="P92" s="98">
        <v>0.43013333333333331</v>
      </c>
      <c r="Q92" s="99">
        <v>15000</v>
      </c>
      <c r="R92" s="98">
        <v>0.41099999999999998</v>
      </c>
      <c r="S92" s="37" t="s">
        <v>28</v>
      </c>
      <c r="T92" s="38"/>
      <c r="U92" s="39"/>
      <c r="V92" s="124" t="str">
        <f t="shared" si="1"/>
        <v>正文六</v>
      </c>
      <c r="W92" s="125">
        <v>3.0000000000000001E-3</v>
      </c>
    </row>
    <row r="93" spans="1:23" s="5" customFormat="1" ht="17.25" customHeight="1" x14ac:dyDescent="0.4">
      <c r="A93" s="35" t="s">
        <v>170</v>
      </c>
      <c r="B93" s="113">
        <v>49794</v>
      </c>
      <c r="C93" s="36" t="s">
        <v>71</v>
      </c>
      <c r="D93" s="111" t="s">
        <v>69</v>
      </c>
      <c r="E93" s="89">
        <v>4.5700000000000005E-2</v>
      </c>
      <c r="F93" s="116">
        <v>0.04</v>
      </c>
      <c r="G93" s="90">
        <v>46367</v>
      </c>
      <c r="H93" s="90">
        <v>46381</v>
      </c>
      <c r="I93" s="91">
        <v>1.0657534246575342</v>
      </c>
      <c r="J93" s="92">
        <v>100</v>
      </c>
      <c r="K93" s="93">
        <v>204.3</v>
      </c>
      <c r="L93" s="94">
        <v>1.1674008810572687</v>
      </c>
      <c r="M93" s="95">
        <v>132</v>
      </c>
      <c r="N93" s="96">
        <v>0.1307169811320755</v>
      </c>
      <c r="O93" s="97">
        <v>36570</v>
      </c>
      <c r="P93" s="98">
        <v>1</v>
      </c>
      <c r="Q93" s="99">
        <v>2000</v>
      </c>
      <c r="R93" s="98">
        <v>0.61399999999999999</v>
      </c>
      <c r="S93" s="37" t="s">
        <v>28</v>
      </c>
      <c r="T93" s="38"/>
      <c r="U93" s="39"/>
      <c r="V93" s="124" t="str">
        <f t="shared" si="1"/>
        <v>華星光四</v>
      </c>
      <c r="W93" s="125">
        <v>3.0000000000000001E-3</v>
      </c>
    </row>
    <row r="94" spans="1:23" s="5" customFormat="1" ht="17.25" customHeight="1" x14ac:dyDescent="0.4">
      <c r="A94" s="35" t="s">
        <v>171</v>
      </c>
      <c r="B94" s="113">
        <v>52011</v>
      </c>
      <c r="C94" s="36" t="s">
        <v>172</v>
      </c>
      <c r="D94" s="111" t="s">
        <v>69</v>
      </c>
      <c r="E94" s="89">
        <v>6.6300000000000012E-2</v>
      </c>
      <c r="F94" s="116">
        <v>2.1999999999999999E-2</v>
      </c>
      <c r="G94" s="90">
        <v>47028</v>
      </c>
      <c r="H94" s="90">
        <v>47041</v>
      </c>
      <c r="I94" s="91">
        <v>2.8739726027397259</v>
      </c>
      <c r="J94" s="92">
        <v>100</v>
      </c>
      <c r="K94" s="93">
        <v>38.5</v>
      </c>
      <c r="L94" s="94">
        <v>1.1480519480519482</v>
      </c>
      <c r="M94" s="95">
        <v>126</v>
      </c>
      <c r="N94" s="96">
        <v>9.7511312217194474E-2</v>
      </c>
      <c r="O94" s="97">
        <v>32630.000000000004</v>
      </c>
      <c r="P94" s="98">
        <v>1</v>
      </c>
      <c r="Q94" s="99">
        <v>1000</v>
      </c>
      <c r="R94" s="98">
        <v>0.52</v>
      </c>
      <c r="S94" s="37" t="s">
        <v>28</v>
      </c>
      <c r="T94" s="38"/>
      <c r="U94" s="39"/>
      <c r="V94" s="124" t="str">
        <f t="shared" si="1"/>
        <v>凱衛一</v>
      </c>
      <c r="W94" s="125">
        <v>3.0000000000000001E-3</v>
      </c>
    </row>
    <row r="95" spans="1:23" s="5" customFormat="1" ht="17.25" customHeight="1" x14ac:dyDescent="0.4">
      <c r="A95" s="35" t="s">
        <v>173</v>
      </c>
      <c r="B95" s="113">
        <v>52303</v>
      </c>
      <c r="C95" s="36" t="s">
        <v>174</v>
      </c>
      <c r="D95" s="111" t="s">
        <v>67</v>
      </c>
      <c r="E95" s="89">
        <v>1.66E-2</v>
      </c>
      <c r="F95" s="116">
        <v>2.1000000000000001E-2</v>
      </c>
      <c r="G95" s="90">
        <v>46213</v>
      </c>
      <c r="H95" s="90">
        <v>46227</v>
      </c>
      <c r="I95" s="91">
        <v>0.64383561643835618</v>
      </c>
      <c r="J95" s="92">
        <v>100</v>
      </c>
      <c r="K95" s="93">
        <v>22</v>
      </c>
      <c r="L95" s="94">
        <v>0.78181818181818175</v>
      </c>
      <c r="M95" s="95">
        <v>105.05</v>
      </c>
      <c r="N95" s="96">
        <v>0.34366279069767453</v>
      </c>
      <c r="O95" s="97">
        <v>6709.9999999999964</v>
      </c>
      <c r="P95" s="98">
        <v>0.19866666666666666</v>
      </c>
      <c r="Q95" s="99">
        <v>3000</v>
      </c>
      <c r="R95" s="98">
        <v>0.29499999999999998</v>
      </c>
      <c r="S95" s="37" t="s">
        <v>27</v>
      </c>
      <c r="T95" s="38"/>
      <c r="U95" s="39"/>
      <c r="V95" s="124" t="str">
        <f t="shared" si="1"/>
        <v>雷笛克光學三</v>
      </c>
      <c r="W95" s="125">
        <v>3.0000000000000001E-3</v>
      </c>
    </row>
    <row r="96" spans="1:23" s="5" customFormat="1" ht="17.25" customHeight="1" x14ac:dyDescent="0.4">
      <c r="A96" s="35" t="s">
        <v>175</v>
      </c>
      <c r="B96" s="113">
        <v>52635</v>
      </c>
      <c r="C96" s="36" t="s">
        <v>176</v>
      </c>
      <c r="D96" s="111" t="s">
        <v>67</v>
      </c>
      <c r="E96" s="89">
        <v>6.6999999999999994E-3</v>
      </c>
      <c r="F96" s="116">
        <v>2.1999999999999999E-2</v>
      </c>
      <c r="G96" s="90">
        <v>46071</v>
      </c>
      <c r="H96" s="90">
        <v>46085</v>
      </c>
      <c r="I96" s="91">
        <v>0.25479452054794521</v>
      </c>
      <c r="J96" s="92">
        <v>100.20010000000001</v>
      </c>
      <c r="K96" s="93">
        <v>110.6</v>
      </c>
      <c r="L96" s="94">
        <v>0.79023508137432197</v>
      </c>
      <c r="M96" s="95">
        <v>106.8</v>
      </c>
      <c r="N96" s="96">
        <v>0.35149656750572056</v>
      </c>
      <c r="O96" s="97">
        <v>7469.9999999999973</v>
      </c>
      <c r="P96" s="98">
        <v>0.50462499999999999</v>
      </c>
      <c r="Q96" s="99">
        <v>8000</v>
      </c>
      <c r="R96" s="98">
        <v>0.45200000000000001</v>
      </c>
      <c r="S96" s="37" t="s">
        <v>27</v>
      </c>
      <c r="T96" s="38"/>
      <c r="U96" s="39"/>
      <c r="V96" s="124" t="str">
        <f t="shared" si="1"/>
        <v>智崴五</v>
      </c>
      <c r="W96" s="125">
        <v>3.0000000000000001E-3</v>
      </c>
    </row>
    <row r="97" spans="1:23" s="5" customFormat="1" ht="17.25" customHeight="1" x14ac:dyDescent="0.4">
      <c r="A97" s="35" t="s">
        <v>177</v>
      </c>
      <c r="B97" s="113">
        <v>53064</v>
      </c>
      <c r="C97" s="36" t="s">
        <v>178</v>
      </c>
      <c r="D97" s="111" t="s">
        <v>73</v>
      </c>
      <c r="E97" s="89">
        <v>2.3699999999999999E-2</v>
      </c>
      <c r="F97" s="116">
        <v>2.1999999999999999E-2</v>
      </c>
      <c r="G97" s="90">
        <v>46321</v>
      </c>
      <c r="H97" s="90">
        <v>46334</v>
      </c>
      <c r="I97" s="91">
        <v>0.93698630136986305</v>
      </c>
      <c r="J97" s="92">
        <v>100</v>
      </c>
      <c r="K97" s="93">
        <v>122.5</v>
      </c>
      <c r="L97" s="94">
        <v>0.74857142857142867</v>
      </c>
      <c r="M97" s="95">
        <v>102.35</v>
      </c>
      <c r="N97" s="96">
        <v>0.36727099236641209</v>
      </c>
      <c r="O97" s="97">
        <v>4719.9999999999945</v>
      </c>
      <c r="P97" s="98">
        <v>0.99990000000000001</v>
      </c>
      <c r="Q97" s="99">
        <v>10000</v>
      </c>
      <c r="R97" s="98">
        <v>0.23799999999999999</v>
      </c>
      <c r="S97" s="37" t="s">
        <v>27</v>
      </c>
      <c r="T97" s="38"/>
      <c r="U97" s="39"/>
      <c r="V97" s="124" t="str">
        <f t="shared" ref="V97:V134" si="2">A97</f>
        <v>桂盟四</v>
      </c>
      <c r="W97" s="125">
        <v>3.0000000000000001E-3</v>
      </c>
    </row>
    <row r="98" spans="1:23" s="5" customFormat="1" ht="17.25" customHeight="1" x14ac:dyDescent="0.4">
      <c r="A98" s="35" t="s">
        <v>179</v>
      </c>
      <c r="B98" s="113">
        <v>53887</v>
      </c>
      <c r="C98" s="36" t="s">
        <v>71</v>
      </c>
      <c r="D98" s="111" t="s">
        <v>73</v>
      </c>
      <c r="E98" s="89">
        <v>2.9399999999999999E-2</v>
      </c>
      <c r="F98" s="116">
        <v>2.5999999999999999E-2</v>
      </c>
      <c r="G98" s="90">
        <v>46349</v>
      </c>
      <c r="H98" s="90">
        <v>46362</v>
      </c>
      <c r="I98" s="91">
        <v>1.0136986301369864</v>
      </c>
      <c r="J98" s="92">
        <v>100</v>
      </c>
      <c r="K98" s="93">
        <v>134.6</v>
      </c>
      <c r="L98" s="94">
        <v>0.61515601783060925</v>
      </c>
      <c r="M98" s="95">
        <v>102.4</v>
      </c>
      <c r="N98" s="96">
        <v>0.66461835748792275</v>
      </c>
      <c r="O98" s="97">
        <v>5340.0000000000055</v>
      </c>
      <c r="P98" s="98">
        <v>1</v>
      </c>
      <c r="Q98" s="99">
        <v>30000</v>
      </c>
      <c r="R98" s="98">
        <v>0.38</v>
      </c>
      <c r="S98" s="37" t="s">
        <v>28</v>
      </c>
      <c r="T98" s="38"/>
      <c r="U98" s="39"/>
      <c r="V98" s="124" t="str">
        <f t="shared" si="2"/>
        <v>中磊七</v>
      </c>
      <c r="W98" s="125">
        <v>3.0000000000000001E-3</v>
      </c>
    </row>
    <row r="99" spans="1:23" s="5" customFormat="1" ht="17.149999999999999" customHeight="1" x14ac:dyDescent="0.4">
      <c r="A99" s="35" t="s">
        <v>180</v>
      </c>
      <c r="B99" s="113">
        <v>54342</v>
      </c>
      <c r="C99" s="36" t="s">
        <v>71</v>
      </c>
      <c r="D99" s="111" t="s">
        <v>84</v>
      </c>
      <c r="E99" s="89">
        <v>1.8599999999999998E-2</v>
      </c>
      <c r="F99" s="116">
        <v>2.7E-2</v>
      </c>
      <c r="G99" s="90">
        <v>46188</v>
      </c>
      <c r="H99" s="90">
        <v>46202</v>
      </c>
      <c r="I99" s="91">
        <v>0.57534246575342463</v>
      </c>
      <c r="J99" s="92">
        <v>100</v>
      </c>
      <c r="K99" s="93">
        <v>184.1</v>
      </c>
      <c r="L99" s="94">
        <v>1.645844649646931</v>
      </c>
      <c r="M99" s="95">
        <v>166</v>
      </c>
      <c r="N99" s="96">
        <v>8.6006600660066251E-3</v>
      </c>
      <c r="O99" s="97">
        <v>67860</v>
      </c>
      <c r="P99" s="98">
        <v>0.3105</v>
      </c>
      <c r="Q99" s="99">
        <v>10000</v>
      </c>
      <c r="R99" s="98">
        <v>0.435</v>
      </c>
      <c r="S99" s="37" t="s">
        <v>27</v>
      </c>
      <c r="T99" s="38"/>
      <c r="U99" s="39"/>
      <c r="V99" s="124" t="str">
        <f t="shared" si="2"/>
        <v>崇越二</v>
      </c>
      <c r="W99" s="125">
        <v>3.0000000000000001E-3</v>
      </c>
    </row>
    <row r="100" spans="1:23" s="5" customFormat="1" ht="17.25" customHeight="1" x14ac:dyDescent="0.4">
      <c r="A100" s="35" t="s">
        <v>181</v>
      </c>
      <c r="B100" s="113">
        <v>54391</v>
      </c>
      <c r="C100" s="36" t="s">
        <v>71</v>
      </c>
      <c r="D100" s="111" t="s">
        <v>77</v>
      </c>
      <c r="E100" s="89">
        <v>8.6300000000000002E-2</v>
      </c>
      <c r="F100" s="116">
        <v>0.03</v>
      </c>
      <c r="G100" s="90">
        <v>46993</v>
      </c>
      <c r="H100" s="90">
        <v>47005</v>
      </c>
      <c r="I100" s="91">
        <v>2.7753424657534245</v>
      </c>
      <c r="J100" s="92">
        <v>100</v>
      </c>
      <c r="K100" s="93">
        <v>300</v>
      </c>
      <c r="L100" s="94">
        <v>1.1866666666666668</v>
      </c>
      <c r="M100" s="95">
        <v>136</v>
      </c>
      <c r="N100" s="96">
        <v>0.14606741573033702</v>
      </c>
      <c r="O100" s="97">
        <v>44630</v>
      </c>
      <c r="P100" s="98">
        <v>1</v>
      </c>
      <c r="Q100" s="99">
        <v>20000</v>
      </c>
      <c r="R100" s="98">
        <v>0.63700000000000001</v>
      </c>
      <c r="S100" s="37" t="s">
        <v>28</v>
      </c>
      <c r="T100" s="38"/>
      <c r="U100" s="39"/>
      <c r="V100" s="124" t="str">
        <f t="shared" si="2"/>
        <v>高技一</v>
      </c>
      <c r="W100" s="125">
        <v>3.0000000000000001E-3</v>
      </c>
    </row>
    <row r="101" spans="1:23" s="5" customFormat="1" ht="17.149999999999999" customHeight="1" x14ac:dyDescent="0.4">
      <c r="A101" s="35" t="s">
        <v>182</v>
      </c>
      <c r="B101" s="113">
        <v>54501</v>
      </c>
      <c r="C101" s="36" t="s">
        <v>121</v>
      </c>
      <c r="D101" s="111" t="s">
        <v>67</v>
      </c>
      <c r="E101" s="89">
        <v>2.0999999999999999E-3</v>
      </c>
      <c r="F101" s="116">
        <v>2.1999999999999999E-2</v>
      </c>
      <c r="G101" s="90">
        <v>46090</v>
      </c>
      <c r="H101" s="90">
        <v>46102</v>
      </c>
      <c r="I101" s="91">
        <v>0.30136986301369861</v>
      </c>
      <c r="J101" s="92">
        <v>100.75</v>
      </c>
      <c r="K101" s="93">
        <v>17.399999999999999</v>
      </c>
      <c r="L101" s="94">
        <v>0.75287356321839083</v>
      </c>
      <c r="M101" s="95">
        <v>104.25</v>
      </c>
      <c r="N101" s="96">
        <v>0.38469465648854956</v>
      </c>
      <c r="O101" s="97">
        <v>4460</v>
      </c>
      <c r="P101" s="98">
        <v>0.99960000000000004</v>
      </c>
      <c r="Q101" s="99">
        <v>5000</v>
      </c>
      <c r="R101" s="98">
        <v>0.16400000000000001</v>
      </c>
      <c r="S101" s="37" t="s">
        <v>27</v>
      </c>
      <c r="T101" s="38"/>
      <c r="U101" s="39"/>
      <c r="V101" s="124" t="str">
        <f t="shared" si="2"/>
        <v>南良一</v>
      </c>
      <c r="W101" s="125">
        <v>3.0000000000000001E-3</v>
      </c>
    </row>
    <row r="102" spans="1:23" s="5" customFormat="1" ht="17.149999999999999" customHeight="1" x14ac:dyDescent="0.4">
      <c r="A102" s="35" t="s">
        <v>183</v>
      </c>
      <c r="B102" s="113">
        <v>56086</v>
      </c>
      <c r="C102" s="36" t="s">
        <v>184</v>
      </c>
      <c r="D102" s="111" t="s">
        <v>62</v>
      </c>
      <c r="E102" s="89">
        <v>1.5799999999999998E-2</v>
      </c>
      <c r="F102" s="116">
        <v>2.3E-2</v>
      </c>
      <c r="G102" s="90">
        <v>46181</v>
      </c>
      <c r="H102" s="90">
        <v>46194</v>
      </c>
      <c r="I102" s="91">
        <v>0.55342465753424652</v>
      </c>
      <c r="J102" s="92">
        <v>100</v>
      </c>
      <c r="K102" s="93">
        <v>22.1</v>
      </c>
      <c r="L102" s="94">
        <v>0.82805429864253388</v>
      </c>
      <c r="M102" s="95">
        <v>106</v>
      </c>
      <c r="N102" s="96">
        <v>0.28010928961748649</v>
      </c>
      <c r="O102" s="97">
        <v>7579.9999999999991</v>
      </c>
      <c r="P102" s="98">
        <v>0.99980000000000002</v>
      </c>
      <c r="Q102" s="99">
        <v>5000</v>
      </c>
      <c r="R102" s="98">
        <v>0.318</v>
      </c>
      <c r="S102" s="37" t="s">
        <v>27</v>
      </c>
      <c r="T102" s="38"/>
      <c r="U102" s="39"/>
      <c r="V102" s="124" t="str">
        <f t="shared" si="2"/>
        <v>四維航六</v>
      </c>
      <c r="W102" s="125">
        <v>3.0000000000000001E-3</v>
      </c>
    </row>
    <row r="103" spans="1:23" s="5" customFormat="1" ht="18" customHeight="1" x14ac:dyDescent="0.4">
      <c r="A103" s="35" t="s">
        <v>185</v>
      </c>
      <c r="B103" s="113">
        <v>56087</v>
      </c>
      <c r="C103" s="36" t="s">
        <v>149</v>
      </c>
      <c r="D103" s="111" t="s">
        <v>62</v>
      </c>
      <c r="E103" s="89">
        <v>4.8000000000000008E-2</v>
      </c>
      <c r="F103" s="116">
        <v>2.1999999999999999E-2</v>
      </c>
      <c r="G103" s="90">
        <v>46724</v>
      </c>
      <c r="H103" s="90">
        <v>46738</v>
      </c>
      <c r="I103" s="91">
        <v>2.043835616438356</v>
      </c>
      <c r="J103" s="92">
        <v>100</v>
      </c>
      <c r="K103" s="93">
        <v>19.3</v>
      </c>
      <c r="L103" s="94">
        <v>0.94818652849740948</v>
      </c>
      <c r="M103" s="95">
        <v>112</v>
      </c>
      <c r="N103" s="96">
        <v>0.18120218579234959</v>
      </c>
      <c r="O103" s="97">
        <v>16800</v>
      </c>
      <c r="P103" s="98">
        <v>1</v>
      </c>
      <c r="Q103" s="99">
        <v>6000</v>
      </c>
      <c r="R103" s="98">
        <v>0.318</v>
      </c>
      <c r="S103" s="37" t="s">
        <v>27</v>
      </c>
      <c r="T103" s="38"/>
      <c r="U103" s="39"/>
      <c r="V103" s="124" t="str">
        <f t="shared" si="2"/>
        <v>四維航七</v>
      </c>
      <c r="W103" s="125">
        <v>3.0000000000000001E-3</v>
      </c>
    </row>
    <row r="104" spans="1:23" s="5" customFormat="1" ht="18" customHeight="1" x14ac:dyDescent="0.4">
      <c r="A104" s="35" t="s">
        <v>186</v>
      </c>
      <c r="B104" s="113">
        <v>61041</v>
      </c>
      <c r="C104" s="36" t="s">
        <v>71</v>
      </c>
      <c r="D104" s="111" t="s">
        <v>77</v>
      </c>
      <c r="E104" s="89">
        <v>6.3700000000000007E-2</v>
      </c>
      <c r="F104" s="116">
        <v>3.5000000000000003E-2</v>
      </c>
      <c r="G104" s="90">
        <v>46611</v>
      </c>
      <c r="H104" s="90">
        <v>46625</v>
      </c>
      <c r="I104" s="91">
        <v>1.7342465753424658</v>
      </c>
      <c r="J104" s="92">
        <v>100</v>
      </c>
      <c r="K104" s="93">
        <v>124.8</v>
      </c>
      <c r="L104" s="94">
        <v>0.73717948717948734</v>
      </c>
      <c r="M104" s="95">
        <v>106</v>
      </c>
      <c r="N104" s="96">
        <v>0.43791304347826066</v>
      </c>
      <c r="O104" s="97">
        <v>12370</v>
      </c>
      <c r="P104" s="98">
        <v>0.87360000000000004</v>
      </c>
      <c r="Q104" s="99">
        <v>5000</v>
      </c>
      <c r="R104" s="98">
        <v>0.32</v>
      </c>
      <c r="S104" s="37" t="s">
        <v>28</v>
      </c>
      <c r="T104" s="38" t="s">
        <v>3</v>
      </c>
      <c r="U104" s="39"/>
      <c r="V104" s="124" t="str">
        <f t="shared" si="2"/>
        <v>創惟一</v>
      </c>
      <c r="W104" s="125">
        <v>3.0000000000000001E-3</v>
      </c>
    </row>
    <row r="105" spans="1:23" s="5" customFormat="1" ht="17.25" customHeight="1" x14ac:dyDescent="0.4">
      <c r="A105" s="128" t="s">
        <v>187</v>
      </c>
      <c r="B105" s="113">
        <v>61263</v>
      </c>
      <c r="C105" s="36" t="s">
        <v>71</v>
      </c>
      <c r="D105" s="111" t="s">
        <v>69</v>
      </c>
      <c r="E105" s="89">
        <v>4.2900000000000008E-2</v>
      </c>
      <c r="F105" s="116">
        <v>0.04</v>
      </c>
      <c r="G105" s="90">
        <v>46342</v>
      </c>
      <c r="H105" s="90">
        <v>46356</v>
      </c>
      <c r="I105" s="91">
        <v>0.99726027397260275</v>
      </c>
      <c r="J105" s="92">
        <v>100</v>
      </c>
      <c r="K105" s="93">
        <v>26.8</v>
      </c>
      <c r="L105" s="94">
        <v>1.1007462686567164</v>
      </c>
      <c r="M105" s="95">
        <v>118</v>
      </c>
      <c r="N105" s="96">
        <v>7.1999999999999953E-2</v>
      </c>
      <c r="O105" s="97">
        <v>22290</v>
      </c>
      <c r="P105" s="98">
        <v>0.39800000000000002</v>
      </c>
      <c r="Q105" s="99">
        <v>5000</v>
      </c>
      <c r="R105" s="98">
        <v>0.25800000000000001</v>
      </c>
      <c r="S105" s="37" t="s">
        <v>28</v>
      </c>
      <c r="T105" s="38" t="s">
        <v>29</v>
      </c>
      <c r="U105" s="39"/>
      <c r="V105" s="124" t="str">
        <f t="shared" si="2"/>
        <v>信音三</v>
      </c>
      <c r="W105" s="125">
        <v>3.0000000000000001E-3</v>
      </c>
    </row>
    <row r="106" spans="1:23" s="5" customFormat="1" ht="18" customHeight="1" x14ac:dyDescent="0.4">
      <c r="A106" s="35" t="s">
        <v>188</v>
      </c>
      <c r="B106" s="113">
        <v>61777</v>
      </c>
      <c r="C106" s="36" t="s">
        <v>71</v>
      </c>
      <c r="D106" s="111" t="s">
        <v>67</v>
      </c>
      <c r="E106" s="89">
        <v>6.1200000000000004E-2</v>
      </c>
      <c r="F106" s="116">
        <v>0.05</v>
      </c>
      <c r="G106" s="90">
        <v>46549</v>
      </c>
      <c r="H106" s="90">
        <v>46563</v>
      </c>
      <c r="I106" s="91">
        <v>1.5643835616438355</v>
      </c>
      <c r="J106" s="92">
        <v>102.01</v>
      </c>
      <c r="K106" s="93">
        <v>46.1</v>
      </c>
      <c r="L106" s="94">
        <v>1.0422993492407808</v>
      </c>
      <c r="M106" s="95">
        <v>114.25</v>
      </c>
      <c r="N106" s="96">
        <v>9.6134235171696267E-2</v>
      </c>
      <c r="O106" s="97">
        <v>20370</v>
      </c>
      <c r="P106" s="98">
        <v>1</v>
      </c>
      <c r="Q106" s="99">
        <v>6000</v>
      </c>
      <c r="R106" s="98">
        <v>0.17599999999999999</v>
      </c>
      <c r="S106" s="37" t="s">
        <v>28</v>
      </c>
      <c r="T106" s="38"/>
      <c r="U106" s="39"/>
      <c r="V106" s="124" t="str">
        <f t="shared" si="2"/>
        <v>達麗七</v>
      </c>
      <c r="W106" s="125">
        <v>3.0000000000000001E-3</v>
      </c>
    </row>
    <row r="107" spans="1:23" s="5" customFormat="1" ht="18" customHeight="1" x14ac:dyDescent="0.4">
      <c r="A107" s="35" t="s">
        <v>189</v>
      </c>
      <c r="B107" s="113">
        <v>61843</v>
      </c>
      <c r="C107" s="36" t="s">
        <v>71</v>
      </c>
      <c r="D107" s="111" t="s">
        <v>69</v>
      </c>
      <c r="E107" s="89">
        <v>3.2100000000000004E-2</v>
      </c>
      <c r="F107" s="116">
        <v>3.5000000000000003E-2</v>
      </c>
      <c r="G107" s="90">
        <v>46440</v>
      </c>
      <c r="H107" s="90">
        <v>46452</v>
      </c>
      <c r="I107" s="91">
        <v>1.2602739726027397</v>
      </c>
      <c r="J107" s="92">
        <v>101.50749999999999</v>
      </c>
      <c r="K107" s="93">
        <v>49.4</v>
      </c>
      <c r="L107" s="94">
        <v>0.96862348178137669</v>
      </c>
      <c r="M107" s="95">
        <v>99.75</v>
      </c>
      <c r="N107" s="96">
        <v>2.9811912225705183E-2</v>
      </c>
      <c r="O107" s="97">
        <v>2960.0000000000005</v>
      </c>
      <c r="P107" s="98">
        <v>0.871</v>
      </c>
      <c r="Q107" s="99">
        <v>15000</v>
      </c>
      <c r="R107" s="98">
        <v>0.14000000000000001</v>
      </c>
      <c r="S107" s="37" t="s">
        <v>28</v>
      </c>
      <c r="T107" s="38"/>
      <c r="U107" s="39"/>
      <c r="V107" s="124" t="str">
        <f t="shared" si="2"/>
        <v>大豐電三</v>
      </c>
      <c r="W107" s="125">
        <v>3.0000000000000001E-3</v>
      </c>
    </row>
    <row r="108" spans="1:23" s="5" customFormat="1" ht="18" customHeight="1" x14ac:dyDescent="0.4">
      <c r="A108" s="35" t="s">
        <v>190</v>
      </c>
      <c r="B108" s="113">
        <v>61875</v>
      </c>
      <c r="C108" s="36" t="s">
        <v>71</v>
      </c>
      <c r="D108" s="111" t="s">
        <v>77</v>
      </c>
      <c r="E108" s="89">
        <v>4.8000000000000008E-2</v>
      </c>
      <c r="F108" s="116">
        <v>2.8000000000000001E-2</v>
      </c>
      <c r="G108" s="90">
        <v>46566</v>
      </c>
      <c r="H108" s="90">
        <v>46578</v>
      </c>
      <c r="I108" s="91">
        <v>1.6054794520547946</v>
      </c>
      <c r="J108" s="92">
        <v>100</v>
      </c>
      <c r="K108" s="93">
        <v>276.8</v>
      </c>
      <c r="L108" s="94">
        <v>1.2843208092485547</v>
      </c>
      <c r="M108" s="95">
        <v>135</v>
      </c>
      <c r="N108" s="96">
        <v>5.1139240506329176E-2</v>
      </c>
      <c r="O108" s="97">
        <v>39800</v>
      </c>
      <c r="P108" s="98">
        <v>0.44080000000000003</v>
      </c>
      <c r="Q108" s="99">
        <v>5000</v>
      </c>
      <c r="R108" s="98">
        <v>0.49</v>
      </c>
      <c r="S108" s="37" t="s">
        <v>28</v>
      </c>
      <c r="T108" s="38"/>
      <c r="U108" s="39"/>
      <c r="V108" s="124" t="str">
        <f t="shared" si="2"/>
        <v>萬潤五</v>
      </c>
      <c r="W108" s="125">
        <v>3.0000000000000001E-3</v>
      </c>
    </row>
    <row r="109" spans="1:23" s="5" customFormat="1" ht="17.149999999999999" customHeight="1" x14ac:dyDescent="0.4">
      <c r="A109" s="35" t="s">
        <v>191</v>
      </c>
      <c r="B109" s="113">
        <v>61894</v>
      </c>
      <c r="C109" s="36" t="s">
        <v>71</v>
      </c>
      <c r="D109" s="111" t="s">
        <v>73</v>
      </c>
      <c r="E109" s="89">
        <v>1.9999999999999997E-2</v>
      </c>
      <c r="F109" s="116">
        <v>2.5999999999999999E-2</v>
      </c>
      <c r="G109" s="90">
        <v>46322</v>
      </c>
      <c r="H109" s="90">
        <v>46336</v>
      </c>
      <c r="I109" s="91">
        <v>0.94246575342465755</v>
      </c>
      <c r="J109" s="92">
        <v>100.75190000000001</v>
      </c>
      <c r="K109" s="93">
        <v>43.14</v>
      </c>
      <c r="L109" s="94">
        <v>1.0755679184051923</v>
      </c>
      <c r="M109" s="95">
        <v>117.3</v>
      </c>
      <c r="N109" s="96">
        <v>9.0586637931034608E-2</v>
      </c>
      <c r="O109" s="97">
        <v>19299.999999999996</v>
      </c>
      <c r="P109" s="98">
        <v>0.24959999999999999</v>
      </c>
      <c r="Q109" s="99">
        <v>5000</v>
      </c>
      <c r="R109" s="98">
        <v>0.215</v>
      </c>
      <c r="S109" s="37" t="s">
        <v>27</v>
      </c>
      <c r="T109" s="38"/>
      <c r="U109" s="39"/>
      <c r="V109" s="124" t="str">
        <f t="shared" si="2"/>
        <v>豐藝四</v>
      </c>
      <c r="W109" s="125">
        <v>3.0000000000000001E-3</v>
      </c>
    </row>
    <row r="110" spans="1:23" s="5" customFormat="1" ht="17.25" customHeight="1" x14ac:dyDescent="0.4">
      <c r="A110" s="35" t="s">
        <v>192</v>
      </c>
      <c r="B110" s="113">
        <v>61907</v>
      </c>
      <c r="C110" s="36" t="s">
        <v>71</v>
      </c>
      <c r="D110" s="111" t="s">
        <v>69</v>
      </c>
      <c r="E110" s="89">
        <v>0.1087</v>
      </c>
      <c r="F110" s="116">
        <v>3.5999999999999997E-2</v>
      </c>
      <c r="G110" s="90">
        <v>47049</v>
      </c>
      <c r="H110" s="90">
        <v>47063</v>
      </c>
      <c r="I110" s="91">
        <v>2.9342465753424656</v>
      </c>
      <c r="J110" s="92">
        <v>100</v>
      </c>
      <c r="K110" s="93">
        <v>41.7</v>
      </c>
      <c r="L110" s="94">
        <v>0.97362110311750594</v>
      </c>
      <c r="M110" s="95">
        <v>117.7</v>
      </c>
      <c r="N110" s="96">
        <v>0.20888916256157641</v>
      </c>
      <c r="O110" s="97">
        <v>28570</v>
      </c>
      <c r="P110" s="98">
        <v>1</v>
      </c>
      <c r="Q110" s="99">
        <v>10000</v>
      </c>
      <c r="R110" s="98">
        <v>0.502</v>
      </c>
      <c r="S110" s="37" t="s">
        <v>27</v>
      </c>
      <c r="T110" s="38"/>
      <c r="U110" s="39"/>
      <c r="V110" s="124" t="str">
        <f t="shared" si="2"/>
        <v>萬泰科七</v>
      </c>
      <c r="W110" s="125">
        <v>3.0000000000000001E-3</v>
      </c>
    </row>
    <row r="111" spans="1:23" s="5" customFormat="1" ht="17.149999999999999" customHeight="1" x14ac:dyDescent="0.4">
      <c r="A111" s="35" t="s">
        <v>193</v>
      </c>
      <c r="B111" s="113">
        <v>61965</v>
      </c>
      <c r="C111" s="36" t="s">
        <v>71</v>
      </c>
      <c r="D111" s="111" t="s">
        <v>73</v>
      </c>
      <c r="E111" s="89">
        <v>1.7899999999999999E-2</v>
      </c>
      <c r="F111" s="116">
        <v>2.5999999999999999E-2</v>
      </c>
      <c r="G111" s="90">
        <v>46188</v>
      </c>
      <c r="H111" s="90">
        <v>46200</v>
      </c>
      <c r="I111" s="91">
        <v>0.56986301369863013</v>
      </c>
      <c r="J111" s="92">
        <v>100</v>
      </c>
      <c r="K111" s="93">
        <v>130.69999999999999</v>
      </c>
      <c r="L111" s="94">
        <v>1.8018362662586076</v>
      </c>
      <c r="M111" s="95">
        <v>180</v>
      </c>
      <c r="N111" s="96">
        <v>-1.0191082802548776E-3</v>
      </c>
      <c r="O111" s="97">
        <v>81790</v>
      </c>
      <c r="P111" s="98">
        <v>0.10376000000000001</v>
      </c>
      <c r="Q111" s="99">
        <v>25000</v>
      </c>
      <c r="R111" s="98">
        <v>0.46400000000000002</v>
      </c>
      <c r="S111" s="37" t="s">
        <v>28</v>
      </c>
      <c r="T111" s="38"/>
      <c r="U111" s="39"/>
      <c r="V111" s="124" t="str">
        <f t="shared" si="2"/>
        <v>帆宣五</v>
      </c>
      <c r="W111" s="125">
        <v>3.0000000000000001E-3</v>
      </c>
    </row>
    <row r="112" spans="1:23" s="5" customFormat="1" ht="17.149999999999999" customHeight="1" x14ac:dyDescent="0.4">
      <c r="A112" s="35" t="s">
        <v>194</v>
      </c>
      <c r="B112" s="113">
        <v>61973</v>
      </c>
      <c r="C112" s="36" t="s">
        <v>71</v>
      </c>
      <c r="D112" s="111" t="s">
        <v>77</v>
      </c>
      <c r="E112" s="89">
        <v>6.1100000000000008E-2</v>
      </c>
      <c r="F112" s="116">
        <v>3.1E-2</v>
      </c>
      <c r="G112" s="90">
        <v>46661</v>
      </c>
      <c r="H112" s="90">
        <v>46675</v>
      </c>
      <c r="I112" s="91">
        <v>1.8712328767123287</v>
      </c>
      <c r="J112" s="92">
        <v>100</v>
      </c>
      <c r="K112" s="93">
        <v>152</v>
      </c>
      <c r="L112" s="94">
        <v>0.94407894736842091</v>
      </c>
      <c r="M112" s="95">
        <v>117.9</v>
      </c>
      <c r="N112" s="96">
        <v>0.24883623693379811</v>
      </c>
      <c r="O112" s="97">
        <v>24010.000000000007</v>
      </c>
      <c r="P112" s="98">
        <v>1</v>
      </c>
      <c r="Q112" s="99">
        <v>10000</v>
      </c>
      <c r="R112" s="98">
        <v>0.39400000000000002</v>
      </c>
      <c r="S112" s="37" t="s">
        <v>28</v>
      </c>
      <c r="T112" s="38"/>
      <c r="U112" s="39"/>
      <c r="V112" s="124" t="str">
        <f t="shared" si="2"/>
        <v>佳必琪三</v>
      </c>
      <c r="W112" s="125">
        <v>3.0000000000000001E-3</v>
      </c>
    </row>
    <row r="113" spans="1:23" s="5" customFormat="1" ht="17.149999999999999" customHeight="1" x14ac:dyDescent="0.4">
      <c r="A113" s="35" t="s">
        <v>195</v>
      </c>
      <c r="B113" s="113">
        <v>62093</v>
      </c>
      <c r="C113" s="36" t="s">
        <v>196</v>
      </c>
      <c r="D113" s="111" t="s">
        <v>67</v>
      </c>
      <c r="E113" s="89">
        <v>6.6800000000000012E-2</v>
      </c>
      <c r="F113" s="116">
        <v>2.1999999999999999E-2</v>
      </c>
      <c r="G113" s="90">
        <v>47035</v>
      </c>
      <c r="H113" s="90">
        <v>47049</v>
      </c>
      <c r="I113" s="91">
        <v>2.8958904109589043</v>
      </c>
      <c r="J113" s="92">
        <v>100</v>
      </c>
      <c r="K113" s="93">
        <v>38.6</v>
      </c>
      <c r="L113" s="94">
        <v>1.471502590673575</v>
      </c>
      <c r="M113" s="95">
        <v>147</v>
      </c>
      <c r="N113" s="96">
        <v>-1.0211267605632632E-3</v>
      </c>
      <c r="O113" s="97">
        <v>53679.999999999993</v>
      </c>
      <c r="P113" s="98">
        <v>1</v>
      </c>
      <c r="Q113" s="99">
        <v>4500</v>
      </c>
      <c r="R113" s="98">
        <v>0.59299999999999997</v>
      </c>
      <c r="S113" s="37" t="s">
        <v>28</v>
      </c>
      <c r="T113" s="38"/>
      <c r="U113" s="39"/>
      <c r="V113" s="124" t="str">
        <f t="shared" si="2"/>
        <v>今國光三</v>
      </c>
      <c r="W113" s="125">
        <v>3.0000000000000001E-3</v>
      </c>
    </row>
    <row r="114" spans="1:23" s="5" customFormat="1" ht="17.149999999999999" customHeight="1" x14ac:dyDescent="0.4">
      <c r="A114" s="35" t="s">
        <v>197</v>
      </c>
      <c r="B114" s="113">
        <v>62194</v>
      </c>
      <c r="C114" s="36" t="s">
        <v>176</v>
      </c>
      <c r="D114" s="111" t="s">
        <v>113</v>
      </c>
      <c r="E114" s="89">
        <v>5.8800000000000005E-2</v>
      </c>
      <c r="F114" s="116">
        <v>2.1999999999999999E-2</v>
      </c>
      <c r="G114" s="90">
        <v>47028</v>
      </c>
      <c r="H114" s="90">
        <v>47042</v>
      </c>
      <c r="I114" s="91">
        <v>2.8767123287671232</v>
      </c>
      <c r="J114" s="92">
        <v>100.75190000000001</v>
      </c>
      <c r="K114" s="93">
        <v>21.17</v>
      </c>
      <c r="L114" s="94">
        <v>0.94709494567784591</v>
      </c>
      <c r="M114" s="95">
        <v>112.7</v>
      </c>
      <c r="N114" s="96">
        <v>0.18995461346633435</v>
      </c>
      <c r="O114" s="97">
        <v>18580.000000000004</v>
      </c>
      <c r="P114" s="98">
        <v>1</v>
      </c>
      <c r="Q114" s="99">
        <v>6000</v>
      </c>
      <c r="R114" s="98">
        <v>0.34399999999999997</v>
      </c>
      <c r="S114" s="37" t="s">
        <v>27</v>
      </c>
      <c r="T114" s="38"/>
      <c r="U114" s="39"/>
      <c r="V114" s="124" t="str">
        <f t="shared" si="2"/>
        <v>富旺四</v>
      </c>
      <c r="W114" s="125">
        <v>3.0000000000000001E-3</v>
      </c>
    </row>
    <row r="115" spans="1:23" s="5" customFormat="1" ht="17.25" customHeight="1" x14ac:dyDescent="0.4">
      <c r="A115" s="35" t="s">
        <v>198</v>
      </c>
      <c r="B115" s="113">
        <v>62745</v>
      </c>
      <c r="C115" s="36" t="s">
        <v>71</v>
      </c>
      <c r="D115" s="111" t="s">
        <v>73</v>
      </c>
      <c r="E115" s="89">
        <v>7.3900000000000007E-2</v>
      </c>
      <c r="F115" s="116">
        <v>2.4E-2</v>
      </c>
      <c r="G115" s="90">
        <v>47056</v>
      </c>
      <c r="H115" s="90">
        <v>47070</v>
      </c>
      <c r="I115" s="91">
        <v>2.9534246575342467</v>
      </c>
      <c r="J115" s="92">
        <v>100</v>
      </c>
      <c r="K115" s="93">
        <v>386</v>
      </c>
      <c r="L115" s="94">
        <v>1.1360103626943006</v>
      </c>
      <c r="M115" s="95">
        <v>132.6</v>
      </c>
      <c r="N115" s="96">
        <v>0.16724287343215499</v>
      </c>
      <c r="O115" s="97">
        <v>39990</v>
      </c>
      <c r="P115" s="98">
        <v>1</v>
      </c>
      <c r="Q115" s="99">
        <v>40000</v>
      </c>
      <c r="R115" s="98">
        <v>0.52400000000000002</v>
      </c>
      <c r="S115" s="37" t="s">
        <v>27</v>
      </c>
      <c r="T115" s="38"/>
      <c r="U115" s="39"/>
      <c r="V115" s="124" t="str">
        <f t="shared" si="2"/>
        <v>台燿五</v>
      </c>
      <c r="W115" s="125">
        <v>3.0000000000000001E-3</v>
      </c>
    </row>
    <row r="116" spans="1:23" s="5" customFormat="1" ht="17.149999999999999" customHeight="1" x14ac:dyDescent="0.4">
      <c r="A116" s="35" t="s">
        <v>199</v>
      </c>
      <c r="B116" s="113">
        <v>62822</v>
      </c>
      <c r="C116" s="36" t="s">
        <v>71</v>
      </c>
      <c r="D116" s="111" t="s">
        <v>77</v>
      </c>
      <c r="E116" s="89">
        <v>1.9E-2</v>
      </c>
      <c r="F116" s="116">
        <v>0.03</v>
      </c>
      <c r="G116" s="90">
        <v>46174</v>
      </c>
      <c r="H116" s="90">
        <v>46186</v>
      </c>
      <c r="I116" s="91">
        <v>0.53150684931506853</v>
      </c>
      <c r="J116" s="92">
        <v>100</v>
      </c>
      <c r="K116" s="93">
        <v>46.1</v>
      </c>
      <c r="L116" s="94">
        <v>0.83731019522776573</v>
      </c>
      <c r="M116" s="95">
        <v>108.75</v>
      </c>
      <c r="N116" s="96">
        <v>0.29880181347150253</v>
      </c>
      <c r="O116" s="97">
        <v>10650</v>
      </c>
      <c r="P116" s="98">
        <v>1</v>
      </c>
      <c r="Q116" s="99">
        <v>40000</v>
      </c>
      <c r="R116" s="98">
        <v>0.73299999999999998</v>
      </c>
      <c r="S116" s="37" t="s">
        <v>28</v>
      </c>
      <c r="T116" s="38"/>
      <c r="U116" s="39"/>
      <c r="V116" s="124" t="str">
        <f t="shared" si="2"/>
        <v>康舒二</v>
      </c>
      <c r="W116" s="125">
        <v>3.0000000000000001E-3</v>
      </c>
    </row>
    <row r="117" spans="1:23" s="5" customFormat="1" ht="17.149999999999999" customHeight="1" x14ac:dyDescent="0.4">
      <c r="A117" s="128" t="s">
        <v>200</v>
      </c>
      <c r="B117" s="113">
        <v>62843</v>
      </c>
      <c r="C117" s="36" t="s">
        <v>71</v>
      </c>
      <c r="D117" s="111" t="s">
        <v>73</v>
      </c>
      <c r="E117" s="89">
        <v>0.03</v>
      </c>
      <c r="F117" s="116">
        <v>2.5999999999999999E-2</v>
      </c>
      <c r="G117" s="90">
        <v>46356</v>
      </c>
      <c r="H117" s="90">
        <v>46370</v>
      </c>
      <c r="I117" s="91">
        <v>1.0356164383561643</v>
      </c>
      <c r="J117" s="92">
        <v>100</v>
      </c>
      <c r="K117" s="93">
        <v>86.6</v>
      </c>
      <c r="L117" s="94">
        <v>0.93995381062355676</v>
      </c>
      <c r="M117" s="95">
        <v>113</v>
      </c>
      <c r="N117" s="96">
        <v>0.20218673218673194</v>
      </c>
      <c r="O117" s="97">
        <v>16000</v>
      </c>
      <c r="P117" s="98">
        <v>1</v>
      </c>
      <c r="Q117" s="99">
        <v>7000</v>
      </c>
      <c r="R117" s="98">
        <v>0.51500000000000001</v>
      </c>
      <c r="S117" s="37" t="s">
        <v>27</v>
      </c>
      <c r="T117" s="38" t="s">
        <v>29</v>
      </c>
      <c r="U117" s="39"/>
      <c r="V117" s="124" t="str">
        <f t="shared" si="2"/>
        <v>佳邦三</v>
      </c>
      <c r="W117" s="125">
        <v>3.0000000000000001E-3</v>
      </c>
    </row>
    <row r="118" spans="1:23" s="5" customFormat="1" ht="17.25" customHeight="1" x14ac:dyDescent="0.4">
      <c r="A118" s="35" t="s">
        <v>201</v>
      </c>
      <c r="B118" s="113">
        <v>629010</v>
      </c>
      <c r="C118" s="36" t="s">
        <v>71</v>
      </c>
      <c r="D118" s="111" t="s">
        <v>77</v>
      </c>
      <c r="E118" s="89">
        <v>4.5100000000000008E-2</v>
      </c>
      <c r="F118" s="116">
        <v>3.2500000000000001E-2</v>
      </c>
      <c r="G118" s="90">
        <v>46506</v>
      </c>
      <c r="H118" s="90">
        <v>46520</v>
      </c>
      <c r="I118" s="91">
        <v>1.4465753424657535</v>
      </c>
      <c r="J118" s="92">
        <v>100.500625</v>
      </c>
      <c r="K118" s="93">
        <v>75.900000000000006</v>
      </c>
      <c r="L118" s="94">
        <v>2.4110671936758892</v>
      </c>
      <c r="M118" s="95">
        <v>247</v>
      </c>
      <c r="N118" s="96">
        <v>2.4442622950819774E-2</v>
      </c>
      <c r="O118" s="97">
        <v>151510</v>
      </c>
      <c r="P118" s="98">
        <v>0.15475</v>
      </c>
      <c r="Q118" s="99">
        <v>8000</v>
      </c>
      <c r="R118" s="98">
        <v>0.67400000000000004</v>
      </c>
      <c r="S118" s="37" t="s">
        <v>28</v>
      </c>
      <c r="T118" s="38"/>
      <c r="U118" s="39"/>
      <c r="V118" s="124" t="str">
        <f t="shared" si="2"/>
        <v>良維十</v>
      </c>
      <c r="W118" s="125">
        <v>3.0000000000000001E-3</v>
      </c>
    </row>
    <row r="119" spans="1:23" s="5" customFormat="1" ht="17.25" customHeight="1" x14ac:dyDescent="0.4">
      <c r="A119" s="35" t="s">
        <v>202</v>
      </c>
      <c r="B119" s="113">
        <v>64145</v>
      </c>
      <c r="C119" s="36" t="s">
        <v>71</v>
      </c>
      <c r="D119" s="111" t="s">
        <v>73</v>
      </c>
      <c r="E119" s="89">
        <v>2.1399999999999999E-2</v>
      </c>
      <c r="F119" s="116">
        <v>2.5999999999999999E-2</v>
      </c>
      <c r="G119" s="90">
        <v>46237</v>
      </c>
      <c r="H119" s="90">
        <v>46250</v>
      </c>
      <c r="I119" s="91">
        <v>0.70684931506849313</v>
      </c>
      <c r="J119" s="92">
        <v>100</v>
      </c>
      <c r="K119" s="93">
        <v>273.60000000000002</v>
      </c>
      <c r="L119" s="94">
        <v>1.0836988304093567</v>
      </c>
      <c r="M119" s="95">
        <v>115.5</v>
      </c>
      <c r="N119" s="96">
        <v>6.5794266441821347E-2</v>
      </c>
      <c r="O119" s="97">
        <v>17640</v>
      </c>
      <c r="P119" s="98">
        <v>0.99990000000000001</v>
      </c>
      <c r="Q119" s="99">
        <v>30000</v>
      </c>
      <c r="R119" s="98">
        <v>0.30599999999999999</v>
      </c>
      <c r="S119" s="37" t="s">
        <v>28</v>
      </c>
      <c r="T119" s="38"/>
      <c r="U119" s="39"/>
      <c r="V119" s="124" t="str">
        <f t="shared" si="2"/>
        <v>樺漢五</v>
      </c>
      <c r="W119" s="125">
        <v>3.0000000000000001E-3</v>
      </c>
    </row>
    <row r="120" spans="1:23" s="5" customFormat="1" ht="17.25" customHeight="1" x14ac:dyDescent="0.4">
      <c r="A120" s="35" t="s">
        <v>203</v>
      </c>
      <c r="B120" s="113">
        <v>64251</v>
      </c>
      <c r="C120" s="36" t="s">
        <v>204</v>
      </c>
      <c r="D120" s="111" t="s">
        <v>62</v>
      </c>
      <c r="E120" s="89">
        <v>4.4200000000000003E-2</v>
      </c>
      <c r="F120" s="116">
        <v>2.1999999999999999E-2</v>
      </c>
      <c r="G120" s="90">
        <v>46661</v>
      </c>
      <c r="H120" s="90">
        <v>46675</v>
      </c>
      <c r="I120" s="91">
        <v>1.8712328767123287</v>
      </c>
      <c r="J120" s="92">
        <v>100</v>
      </c>
      <c r="K120" s="93">
        <v>58.7</v>
      </c>
      <c r="L120" s="94">
        <v>1.3407155025553663</v>
      </c>
      <c r="M120" s="95">
        <v>143.5</v>
      </c>
      <c r="N120" s="96">
        <v>7.0324015247776303E-2</v>
      </c>
      <c r="O120" s="97">
        <v>47920</v>
      </c>
      <c r="P120" s="98">
        <v>0.77649999999999997</v>
      </c>
      <c r="Q120" s="99">
        <v>2000</v>
      </c>
      <c r="R120" s="98">
        <v>0.42799999999999999</v>
      </c>
      <c r="S120" s="37" t="s">
        <v>27</v>
      </c>
      <c r="T120" s="38"/>
      <c r="U120" s="39"/>
      <c r="V120" s="124" t="str">
        <f t="shared" si="2"/>
        <v>易發一</v>
      </c>
      <c r="W120" s="125">
        <v>3.0000000000000001E-3</v>
      </c>
    </row>
    <row r="121" spans="1:23" s="5" customFormat="1" ht="17.25" customHeight="1" x14ac:dyDescent="0.4">
      <c r="A121" s="35" t="s">
        <v>35</v>
      </c>
      <c r="B121" s="113">
        <v>64693</v>
      </c>
      <c r="C121" s="36" t="s">
        <v>71</v>
      </c>
      <c r="D121" s="111" t="s">
        <v>73</v>
      </c>
      <c r="E121" s="89">
        <v>7.7499999999999999E-2</v>
      </c>
      <c r="F121" s="116">
        <v>2.8000000000000001E-2</v>
      </c>
      <c r="G121" s="90">
        <v>46948</v>
      </c>
      <c r="H121" s="90">
        <v>46962</v>
      </c>
      <c r="I121" s="91">
        <v>2.6575342465753424</v>
      </c>
      <c r="J121" s="92">
        <v>100</v>
      </c>
      <c r="K121" s="93">
        <v>132.53</v>
      </c>
      <c r="L121" s="94">
        <v>0.77340979400890364</v>
      </c>
      <c r="M121" s="95">
        <v>104</v>
      </c>
      <c r="N121" s="96">
        <v>0.34469463414634149</v>
      </c>
      <c r="O121" s="97">
        <v>11750</v>
      </c>
      <c r="P121" s="98">
        <v>1</v>
      </c>
      <c r="Q121" s="99">
        <v>10000</v>
      </c>
      <c r="R121" s="98">
        <v>0.247</v>
      </c>
      <c r="S121" s="37" t="s">
        <v>28</v>
      </c>
      <c r="T121" s="38"/>
      <c r="U121" s="39"/>
      <c r="V121" s="124" t="str">
        <f t="shared" si="2"/>
        <v>大樹三</v>
      </c>
      <c r="W121" s="125">
        <v>3.0000000000000001E-3</v>
      </c>
    </row>
    <row r="122" spans="1:23" s="5" customFormat="1" ht="17.25" customHeight="1" x14ac:dyDescent="0.4">
      <c r="A122" s="35" t="s">
        <v>205</v>
      </c>
      <c r="B122" s="113">
        <v>65521</v>
      </c>
      <c r="C122" s="36" t="s">
        <v>131</v>
      </c>
      <c r="D122" s="111" t="s">
        <v>69</v>
      </c>
      <c r="E122" s="89">
        <v>2.2799999999999997E-2</v>
      </c>
      <c r="F122" s="116">
        <v>2.1999999999999999E-2</v>
      </c>
      <c r="G122" s="90">
        <v>46307</v>
      </c>
      <c r="H122" s="90">
        <v>46320</v>
      </c>
      <c r="I122" s="91">
        <v>0.89863013698630134</v>
      </c>
      <c r="J122" s="92">
        <v>100</v>
      </c>
      <c r="K122" s="93">
        <v>58.8</v>
      </c>
      <c r="L122" s="94">
        <v>0.42517006802721091</v>
      </c>
      <c r="M122" s="95">
        <v>100</v>
      </c>
      <c r="N122" s="96">
        <v>1.3519999999999999</v>
      </c>
      <c r="O122" s="97">
        <v>2279.9999999999995</v>
      </c>
      <c r="P122" s="98">
        <v>1</v>
      </c>
      <c r="Q122" s="99">
        <v>5000</v>
      </c>
      <c r="R122" s="98">
        <v>0.27300000000000002</v>
      </c>
      <c r="S122" s="37" t="s">
        <v>27</v>
      </c>
      <c r="T122" s="38"/>
      <c r="U122" s="40"/>
      <c r="V122" s="124" t="str">
        <f t="shared" si="2"/>
        <v>易華電一</v>
      </c>
      <c r="W122" s="125">
        <v>3.0000000000000001E-3</v>
      </c>
    </row>
    <row r="123" spans="1:23" s="5" customFormat="1" ht="17.25" customHeight="1" x14ac:dyDescent="0.4">
      <c r="A123" s="35" t="s">
        <v>36</v>
      </c>
      <c r="B123" s="113">
        <v>65841</v>
      </c>
      <c r="C123" s="36" t="s">
        <v>168</v>
      </c>
      <c r="D123" s="111" t="s">
        <v>69</v>
      </c>
      <c r="E123" s="89">
        <v>1.3000000000000001E-2</v>
      </c>
      <c r="F123" s="116">
        <v>2.1999999999999999E-2</v>
      </c>
      <c r="G123" s="90">
        <v>46310</v>
      </c>
      <c r="H123" s="90">
        <v>46324</v>
      </c>
      <c r="I123" s="91">
        <v>0.90958904109589045</v>
      </c>
      <c r="J123" s="92">
        <v>101.0025</v>
      </c>
      <c r="K123" s="93">
        <v>177.5</v>
      </c>
      <c r="L123" s="94">
        <v>2.0084507042253521</v>
      </c>
      <c r="M123" s="95">
        <v>200</v>
      </c>
      <c r="N123" s="96">
        <v>-4.2075736325385199E-3</v>
      </c>
      <c r="O123" s="97">
        <v>101299.99999999999</v>
      </c>
      <c r="P123" s="98">
        <v>0.31871428571428573</v>
      </c>
      <c r="Q123" s="99">
        <v>7000</v>
      </c>
      <c r="R123" s="98">
        <v>0.623</v>
      </c>
      <c r="S123" s="37" t="s">
        <v>27</v>
      </c>
      <c r="T123" s="38"/>
      <c r="U123" s="40"/>
      <c r="V123" s="124" t="str">
        <f t="shared" si="2"/>
        <v>南俊國際一</v>
      </c>
      <c r="W123" s="125">
        <v>3.0000000000000001E-3</v>
      </c>
    </row>
    <row r="124" spans="1:23" s="5" customFormat="1" ht="17.25" customHeight="1" x14ac:dyDescent="0.4">
      <c r="A124" s="35" t="s">
        <v>206</v>
      </c>
      <c r="B124" s="113">
        <v>65851</v>
      </c>
      <c r="C124" s="36" t="s">
        <v>149</v>
      </c>
      <c r="D124" s="111" t="s">
        <v>77</v>
      </c>
      <c r="E124" s="89">
        <v>2.29E-2</v>
      </c>
      <c r="F124" s="116">
        <v>2.1999999999999999E-2</v>
      </c>
      <c r="G124" s="90">
        <v>46307</v>
      </c>
      <c r="H124" s="90">
        <v>46321</v>
      </c>
      <c r="I124" s="91">
        <v>0.90136986301369859</v>
      </c>
      <c r="J124" s="92">
        <v>100</v>
      </c>
      <c r="K124" s="93">
        <v>110.9</v>
      </c>
      <c r="L124" s="94">
        <v>0.80973850315599638</v>
      </c>
      <c r="M124" s="95">
        <v>110</v>
      </c>
      <c r="N124" s="96">
        <v>0.35846325167037868</v>
      </c>
      <c r="O124" s="97">
        <v>12290.000000000002</v>
      </c>
      <c r="P124" s="98">
        <v>0.54620000000000002</v>
      </c>
      <c r="Q124" s="99">
        <v>5000</v>
      </c>
      <c r="R124" s="98">
        <v>0.34699999999999998</v>
      </c>
      <c r="S124" s="37" t="s">
        <v>27</v>
      </c>
      <c r="T124" s="38"/>
      <c r="U124" s="40"/>
      <c r="V124" s="124" t="str">
        <f t="shared" si="2"/>
        <v>鼎基一</v>
      </c>
      <c r="W124" s="125">
        <v>3.0000000000000001E-3</v>
      </c>
    </row>
    <row r="125" spans="1:23" s="5" customFormat="1" ht="17.25" customHeight="1" x14ac:dyDescent="0.4">
      <c r="A125" s="35" t="s">
        <v>207</v>
      </c>
      <c r="B125" s="113">
        <v>65096</v>
      </c>
      <c r="C125" s="36" t="s">
        <v>71</v>
      </c>
      <c r="D125" s="111" t="s">
        <v>77</v>
      </c>
      <c r="E125" s="89">
        <v>1.95E-2</v>
      </c>
      <c r="F125" s="116">
        <v>2.8000000000000001E-2</v>
      </c>
      <c r="G125" s="90">
        <v>46192</v>
      </c>
      <c r="H125" s="90">
        <v>46206</v>
      </c>
      <c r="I125" s="91">
        <v>0.58630136986301373</v>
      </c>
      <c r="J125" s="92">
        <v>100</v>
      </c>
      <c r="K125" s="93">
        <v>37.6</v>
      </c>
      <c r="L125" s="94">
        <v>0.92819148936170204</v>
      </c>
      <c r="M125" s="95">
        <v>107.95</v>
      </c>
      <c r="N125" s="96">
        <v>0.16301432664756454</v>
      </c>
      <c r="O125" s="97">
        <v>9900.0000000000036</v>
      </c>
      <c r="P125" s="98">
        <v>1</v>
      </c>
      <c r="Q125" s="99">
        <v>5000</v>
      </c>
      <c r="R125" s="98">
        <v>0.27</v>
      </c>
      <c r="S125" s="37" t="s">
        <v>27</v>
      </c>
      <c r="T125" s="38"/>
      <c r="U125" s="40"/>
      <c r="V125" s="124" t="str">
        <f t="shared" si="2"/>
        <v>聚和六</v>
      </c>
      <c r="W125" s="125">
        <v>3.0000000000000001E-3</v>
      </c>
    </row>
    <row r="126" spans="1:23" s="5" customFormat="1" ht="17.25" customHeight="1" x14ac:dyDescent="0.4">
      <c r="A126" s="35" t="s">
        <v>208</v>
      </c>
      <c r="B126" s="113">
        <v>66241</v>
      </c>
      <c r="C126" s="36" t="s">
        <v>121</v>
      </c>
      <c r="D126" s="111" t="s">
        <v>67</v>
      </c>
      <c r="E126" s="89">
        <v>3.0599999999999999E-2</v>
      </c>
      <c r="F126" s="116">
        <v>2.1999999999999999E-2</v>
      </c>
      <c r="G126" s="90">
        <v>46559</v>
      </c>
      <c r="H126" s="90">
        <v>46573</v>
      </c>
      <c r="I126" s="91">
        <v>1.5917808219178082</v>
      </c>
      <c r="J126" s="92">
        <v>100.75</v>
      </c>
      <c r="K126" s="93">
        <v>40.6</v>
      </c>
      <c r="L126" s="94">
        <v>1.2278325123152709</v>
      </c>
      <c r="M126" s="95">
        <v>120.5</v>
      </c>
      <c r="N126" s="96">
        <v>-1.8595787362086221E-2</v>
      </c>
      <c r="O126" s="97">
        <v>23559.999999999996</v>
      </c>
      <c r="P126" s="98">
        <v>1</v>
      </c>
      <c r="Q126" s="99">
        <v>1000</v>
      </c>
      <c r="R126" s="98">
        <v>0.31900000000000001</v>
      </c>
      <c r="S126" s="37" t="s">
        <v>27</v>
      </c>
      <c r="T126" s="38"/>
      <c r="U126" s="40"/>
      <c r="V126" s="124" t="str">
        <f t="shared" si="2"/>
        <v>萬年清一</v>
      </c>
      <c r="W126" s="125">
        <v>3.0000000000000001E-3</v>
      </c>
    </row>
    <row r="127" spans="1:23" s="5" customFormat="1" ht="17.25" customHeight="1" x14ac:dyDescent="0.4">
      <c r="A127" s="35" t="s">
        <v>209</v>
      </c>
      <c r="B127" s="113">
        <v>66642</v>
      </c>
      <c r="C127" s="36" t="s">
        <v>71</v>
      </c>
      <c r="D127" s="111" t="s">
        <v>69</v>
      </c>
      <c r="E127" s="89">
        <v>8.6699999999999999E-2</v>
      </c>
      <c r="F127" s="116">
        <v>4.2500000000000003E-2</v>
      </c>
      <c r="G127" s="90">
        <v>46696</v>
      </c>
      <c r="H127" s="90">
        <v>46710</v>
      </c>
      <c r="I127" s="91">
        <v>1.9671232876712328</v>
      </c>
      <c r="J127" s="92">
        <v>100</v>
      </c>
      <c r="K127" s="93">
        <v>292.10000000000002</v>
      </c>
      <c r="L127" s="94">
        <v>0.8832591578226634</v>
      </c>
      <c r="M127" s="95">
        <v>115.45</v>
      </c>
      <c r="N127" s="96">
        <v>0.30709089147286844</v>
      </c>
      <c r="O127" s="97">
        <v>24120.000000000004</v>
      </c>
      <c r="P127" s="98">
        <v>1</v>
      </c>
      <c r="Q127" s="99">
        <v>12500</v>
      </c>
      <c r="R127" s="98">
        <v>0.37</v>
      </c>
      <c r="S127" s="37" t="s">
        <v>28</v>
      </c>
      <c r="T127" s="38"/>
      <c r="U127" s="40"/>
      <c r="V127" s="124" t="str">
        <f t="shared" si="2"/>
        <v>群翊二</v>
      </c>
      <c r="W127" s="125">
        <v>3.0000000000000001E-3</v>
      </c>
    </row>
    <row r="128" spans="1:23" s="5" customFormat="1" ht="17.25" customHeight="1" x14ac:dyDescent="0.4">
      <c r="A128" s="35" t="s">
        <v>210</v>
      </c>
      <c r="B128" s="113">
        <v>67152</v>
      </c>
      <c r="C128" s="36" t="s">
        <v>71</v>
      </c>
      <c r="D128" s="111" t="s">
        <v>77</v>
      </c>
      <c r="E128" s="89">
        <v>3.7000000000000005E-2</v>
      </c>
      <c r="F128" s="116">
        <v>0.03</v>
      </c>
      <c r="G128" s="90">
        <v>46391</v>
      </c>
      <c r="H128" s="90">
        <v>46405</v>
      </c>
      <c r="I128" s="91">
        <v>1.1315068493150684</v>
      </c>
      <c r="J128" s="92">
        <v>100</v>
      </c>
      <c r="K128" s="93">
        <v>157.1</v>
      </c>
      <c r="L128" s="94">
        <v>0.56524506683640996</v>
      </c>
      <c r="M128" s="95">
        <v>104</v>
      </c>
      <c r="N128" s="96">
        <v>0.83990990990990988</v>
      </c>
      <c r="O128" s="97">
        <v>7700.0000000000009</v>
      </c>
      <c r="P128" s="98">
        <v>1</v>
      </c>
      <c r="Q128" s="99">
        <v>3000</v>
      </c>
      <c r="R128" s="98">
        <v>0.26400000000000001</v>
      </c>
      <c r="S128" s="37" t="s">
        <v>28</v>
      </c>
      <c r="T128" s="38"/>
      <c r="U128" s="40"/>
      <c r="V128" s="124" t="str">
        <f t="shared" si="2"/>
        <v>嘉基二</v>
      </c>
      <c r="W128" s="125">
        <v>3.0000000000000001E-3</v>
      </c>
    </row>
    <row r="129" spans="1:23" s="5" customFormat="1" ht="17.25" customHeight="1" x14ac:dyDescent="0.4">
      <c r="A129" s="35" t="s">
        <v>211</v>
      </c>
      <c r="B129" s="113">
        <v>67531</v>
      </c>
      <c r="C129" s="36" t="s">
        <v>71</v>
      </c>
      <c r="D129" s="111" t="s">
        <v>77</v>
      </c>
      <c r="E129" s="89">
        <v>5.3900000000000003E-2</v>
      </c>
      <c r="F129" s="116">
        <v>3.2500000000000001E-2</v>
      </c>
      <c r="G129" s="90">
        <v>46549</v>
      </c>
      <c r="H129" s="90">
        <v>46563</v>
      </c>
      <c r="I129" s="91">
        <v>1.5643835616438355</v>
      </c>
      <c r="J129" s="92">
        <v>100</v>
      </c>
      <c r="K129" s="93">
        <v>116.6</v>
      </c>
      <c r="L129" s="94">
        <v>1.0591766723842195</v>
      </c>
      <c r="M129" s="95">
        <v>127</v>
      </c>
      <c r="N129" s="96">
        <v>0.19904453441295547</v>
      </c>
      <c r="O129" s="97">
        <v>32390.000000000004</v>
      </c>
      <c r="P129" s="98">
        <v>0.52170000000000005</v>
      </c>
      <c r="Q129" s="99">
        <v>10000</v>
      </c>
      <c r="R129" s="98">
        <v>0.32600000000000001</v>
      </c>
      <c r="S129" s="37" t="s">
        <v>28</v>
      </c>
      <c r="T129" s="38"/>
      <c r="U129" s="40"/>
      <c r="V129" s="124" t="str">
        <f t="shared" si="2"/>
        <v>龍德造船一</v>
      </c>
      <c r="W129" s="125">
        <v>3.0000000000000001E-3</v>
      </c>
    </row>
    <row r="130" spans="1:23" s="5" customFormat="1" ht="17.25" customHeight="1" x14ac:dyDescent="0.4">
      <c r="A130" s="35" t="s">
        <v>212</v>
      </c>
      <c r="B130" s="113">
        <v>67681</v>
      </c>
      <c r="C130" s="36" t="s">
        <v>71</v>
      </c>
      <c r="D130" s="111" t="s">
        <v>73</v>
      </c>
      <c r="E130" s="89">
        <v>7.010000000000001E-2</v>
      </c>
      <c r="F130" s="116">
        <v>3.5000000000000003E-2</v>
      </c>
      <c r="G130" s="90">
        <v>46678</v>
      </c>
      <c r="H130" s="90">
        <v>46691</v>
      </c>
      <c r="I130" s="91">
        <v>1.9150684931506849</v>
      </c>
      <c r="J130" s="92">
        <v>100</v>
      </c>
      <c r="K130" s="93">
        <v>95.2</v>
      </c>
      <c r="L130" s="94">
        <v>1.1974789915966386</v>
      </c>
      <c r="M130" s="95">
        <v>128</v>
      </c>
      <c r="N130" s="96">
        <v>6.8912280701754439E-2</v>
      </c>
      <c r="O130" s="97">
        <v>35010</v>
      </c>
      <c r="P130" s="98">
        <v>0.59099999999999997</v>
      </c>
      <c r="Q130" s="99">
        <v>10000</v>
      </c>
      <c r="R130" s="98">
        <v>0.47</v>
      </c>
      <c r="S130" s="37" t="s">
        <v>28</v>
      </c>
      <c r="T130" s="38"/>
      <c r="U130" s="40"/>
      <c r="V130" s="124" t="str">
        <f t="shared" si="2"/>
        <v>志強一KY</v>
      </c>
      <c r="W130" s="125">
        <v>3.0000000000000001E-3</v>
      </c>
    </row>
    <row r="131" spans="1:23" s="5" customFormat="1" ht="17.25" customHeight="1" x14ac:dyDescent="0.4">
      <c r="A131" s="35" t="s">
        <v>213</v>
      </c>
      <c r="B131" s="113">
        <v>67711</v>
      </c>
      <c r="C131" s="36" t="s">
        <v>176</v>
      </c>
      <c r="D131" s="111" t="s">
        <v>69</v>
      </c>
      <c r="E131" s="89">
        <v>2.4499999999999997E-2</v>
      </c>
      <c r="F131" s="116">
        <v>2.1999999999999999E-2</v>
      </c>
      <c r="G131" s="90">
        <v>46503</v>
      </c>
      <c r="H131" s="90">
        <v>46515</v>
      </c>
      <c r="I131" s="91">
        <v>1.4328767123287671</v>
      </c>
      <c r="J131" s="92">
        <v>101.0025</v>
      </c>
      <c r="K131" s="93">
        <v>51.66</v>
      </c>
      <c r="L131" s="94">
        <v>0.9117305458768874</v>
      </c>
      <c r="M131" s="95">
        <v>105.5</v>
      </c>
      <c r="N131" s="96">
        <v>0.15714012738853497</v>
      </c>
      <c r="O131" s="97">
        <v>7950</v>
      </c>
      <c r="P131" s="98">
        <v>1</v>
      </c>
      <c r="Q131" s="99">
        <v>3500</v>
      </c>
      <c r="R131" s="98">
        <v>8.6999999999999994E-2</v>
      </c>
      <c r="S131" s="37" t="s">
        <v>27</v>
      </c>
      <c r="T131" s="38"/>
      <c r="U131" s="40"/>
      <c r="V131" s="124" t="str">
        <f t="shared" si="2"/>
        <v>平和環保一創</v>
      </c>
      <c r="W131" s="125">
        <v>3.0000000000000001E-3</v>
      </c>
    </row>
    <row r="132" spans="1:23" s="5" customFormat="1" ht="17.149999999999999" customHeight="1" x14ac:dyDescent="0.4">
      <c r="A132" s="35" t="s">
        <v>214</v>
      </c>
      <c r="B132" s="113">
        <v>68211</v>
      </c>
      <c r="C132" s="36" t="s">
        <v>71</v>
      </c>
      <c r="D132" s="111" t="s">
        <v>69</v>
      </c>
      <c r="E132" s="89">
        <v>6.9700000000000012E-2</v>
      </c>
      <c r="F132" s="116">
        <v>4.4999999999999998E-2</v>
      </c>
      <c r="G132" s="90">
        <v>46601</v>
      </c>
      <c r="H132" s="90">
        <v>46614</v>
      </c>
      <c r="I132" s="91">
        <v>1.704109589041096</v>
      </c>
      <c r="J132" s="92">
        <v>101</v>
      </c>
      <c r="K132" s="93">
        <v>43.06</v>
      </c>
      <c r="L132" s="94">
        <v>0.88713423130515556</v>
      </c>
      <c r="M132" s="95">
        <v>102.2</v>
      </c>
      <c r="N132" s="96">
        <v>0.15202408376963367</v>
      </c>
      <c r="O132" s="97">
        <v>9170.0000000000036</v>
      </c>
      <c r="P132" s="98">
        <v>1</v>
      </c>
      <c r="Q132" s="99">
        <v>3000</v>
      </c>
      <c r="R132" s="98">
        <v>0.22900000000000001</v>
      </c>
      <c r="S132" s="37" t="s">
        <v>28</v>
      </c>
      <c r="T132" s="38"/>
      <c r="U132" s="40"/>
      <c r="V132" s="124" t="str">
        <f t="shared" si="2"/>
        <v>聯寶一</v>
      </c>
      <c r="W132" s="125">
        <v>3.0000000000000001E-3</v>
      </c>
    </row>
    <row r="133" spans="1:23" s="5" customFormat="1" ht="17.25" customHeight="1" x14ac:dyDescent="0.4">
      <c r="A133" s="35" t="s">
        <v>215</v>
      </c>
      <c r="B133" s="113">
        <v>68301</v>
      </c>
      <c r="C133" s="36" t="s">
        <v>71</v>
      </c>
      <c r="D133" s="111" t="s">
        <v>77</v>
      </c>
      <c r="E133" s="89">
        <v>2.5899999999999999E-2</v>
      </c>
      <c r="F133" s="116">
        <v>3.2500000000000001E-2</v>
      </c>
      <c r="G133" s="90">
        <v>46237</v>
      </c>
      <c r="H133" s="90">
        <v>46249</v>
      </c>
      <c r="I133" s="91">
        <v>0.70410958904109588</v>
      </c>
      <c r="J133" s="92">
        <v>100</v>
      </c>
      <c r="K133" s="93">
        <v>147.80000000000001</v>
      </c>
      <c r="L133" s="94">
        <v>1.0859269282814614</v>
      </c>
      <c r="M133" s="95">
        <v>118</v>
      </c>
      <c r="N133" s="96">
        <v>8.6629283489096598E-2</v>
      </c>
      <c r="O133" s="97">
        <v>20590</v>
      </c>
      <c r="P133" s="98">
        <v>0.99980000000000002</v>
      </c>
      <c r="Q133" s="99">
        <v>5000</v>
      </c>
      <c r="R133" s="98">
        <v>0.34899999999999998</v>
      </c>
      <c r="S133" s="37" t="s">
        <v>28</v>
      </c>
      <c r="T133" s="38"/>
      <c r="U133" s="40"/>
      <c r="V133" s="124" t="str">
        <f t="shared" si="2"/>
        <v>汎銓一</v>
      </c>
      <c r="W133" s="125">
        <v>3.0000000000000001E-3</v>
      </c>
    </row>
    <row r="134" spans="1:23" s="5" customFormat="1" ht="17.25" customHeight="1" x14ac:dyDescent="0.4">
      <c r="A134" s="35" t="s">
        <v>216</v>
      </c>
      <c r="B134" s="113">
        <v>68541</v>
      </c>
      <c r="C134" s="36" t="s">
        <v>196</v>
      </c>
      <c r="D134" s="111" t="s">
        <v>67</v>
      </c>
      <c r="E134" s="89">
        <v>2.0299999999999999E-2</v>
      </c>
      <c r="F134" s="116">
        <v>2.1999999999999999E-2</v>
      </c>
      <c r="G134" s="90">
        <v>46433</v>
      </c>
      <c r="H134" s="90">
        <v>46445</v>
      </c>
      <c r="I134" s="91">
        <v>1.2410958904109588</v>
      </c>
      <c r="J134" s="92">
        <v>101.0025</v>
      </c>
      <c r="K134" s="93">
        <v>248.3</v>
      </c>
      <c r="L134" s="94">
        <v>0.5336286749899315</v>
      </c>
      <c r="M134" s="95">
        <v>103</v>
      </c>
      <c r="N134" s="96">
        <v>0.93018113207547193</v>
      </c>
      <c r="O134" s="97">
        <v>5030</v>
      </c>
      <c r="P134" s="98">
        <v>1</v>
      </c>
      <c r="Q134" s="99">
        <v>8000</v>
      </c>
      <c r="R134" s="98">
        <v>0.39800000000000002</v>
      </c>
      <c r="S134" s="37" t="s">
        <v>27</v>
      </c>
      <c r="T134" s="38"/>
      <c r="U134" s="39"/>
      <c r="V134" s="124" t="str">
        <f t="shared" si="2"/>
        <v>錼創科技一KY創</v>
      </c>
      <c r="W134" s="125">
        <v>3.0000000000000001E-3</v>
      </c>
    </row>
    <row r="135" spans="1:23" s="5" customFormat="1" ht="17.25" customHeight="1" x14ac:dyDescent="0.4">
      <c r="A135" s="35" t="s">
        <v>217</v>
      </c>
      <c r="B135" s="113">
        <v>69821</v>
      </c>
      <c r="C135" s="36" t="s">
        <v>71</v>
      </c>
      <c r="D135" s="111" t="s">
        <v>67</v>
      </c>
      <c r="E135" s="89">
        <v>8.5100000000000009E-2</v>
      </c>
      <c r="F135" s="116">
        <v>0.05</v>
      </c>
      <c r="G135" s="90">
        <v>46577</v>
      </c>
      <c r="H135" s="90">
        <v>46591</v>
      </c>
      <c r="I135" s="91">
        <v>1.6410958904109589</v>
      </c>
      <c r="J135" s="92">
        <v>100</v>
      </c>
      <c r="K135" s="93">
        <v>63.6</v>
      </c>
      <c r="L135" s="94">
        <v>1.0125786163522013</v>
      </c>
      <c r="M135" s="95">
        <v>105</v>
      </c>
      <c r="N135" s="96">
        <v>3.6956521739130457E-2</v>
      </c>
      <c r="O135" s="97">
        <v>13510</v>
      </c>
      <c r="P135" s="98" t="e">
        <v>#N/A</v>
      </c>
      <c r="Q135" s="99">
        <v>3000</v>
      </c>
      <c r="R135" s="98">
        <v>0.27200000000000002</v>
      </c>
      <c r="S135" s="37" t="s">
        <v>28</v>
      </c>
      <c r="T135" s="38"/>
      <c r="U135" s="40"/>
      <c r="V135" s="124" t="str">
        <f t="shared" ref="V135:V155" si="3">A135</f>
        <v>大井泵浦一</v>
      </c>
      <c r="W135" s="125">
        <v>3.0000000000000001E-3</v>
      </c>
    </row>
    <row r="136" spans="1:23" s="5" customFormat="1" ht="17.25" customHeight="1" x14ac:dyDescent="0.4">
      <c r="A136" s="35" t="s">
        <v>218</v>
      </c>
      <c r="B136" s="113">
        <v>69822</v>
      </c>
      <c r="C136" s="36" t="s">
        <v>71</v>
      </c>
      <c r="D136" s="111" t="s">
        <v>67</v>
      </c>
      <c r="E136" s="89">
        <v>8.6699999999999999E-2</v>
      </c>
      <c r="F136" s="116">
        <v>0.05</v>
      </c>
      <c r="G136" s="90">
        <v>46589</v>
      </c>
      <c r="H136" s="90">
        <v>46603</v>
      </c>
      <c r="I136" s="91">
        <v>1.6739726027397259</v>
      </c>
      <c r="J136" s="92">
        <v>100</v>
      </c>
      <c r="K136" s="93">
        <v>61.8</v>
      </c>
      <c r="L136" s="94">
        <v>1.0420711974110033</v>
      </c>
      <c r="M136" s="95">
        <v>105.5</v>
      </c>
      <c r="N136" s="96">
        <v>1.24068322981366E-2</v>
      </c>
      <c r="O136" s="97">
        <v>14170</v>
      </c>
      <c r="P136" s="98">
        <v>0.995</v>
      </c>
      <c r="Q136" s="99">
        <v>2000</v>
      </c>
      <c r="R136" s="98">
        <v>0.27200000000000002</v>
      </c>
      <c r="S136" s="37" t="s">
        <v>28</v>
      </c>
      <c r="T136" s="38"/>
      <c r="U136" s="40"/>
      <c r="V136" s="124" t="str">
        <f t="shared" si="3"/>
        <v>大井泵浦二</v>
      </c>
      <c r="W136" s="125">
        <v>3.0000000000000001E-3</v>
      </c>
    </row>
    <row r="137" spans="1:23" s="5" customFormat="1" ht="17.25" customHeight="1" x14ac:dyDescent="0.4">
      <c r="A137" s="35" t="s">
        <v>219</v>
      </c>
      <c r="B137" s="113">
        <v>75561</v>
      </c>
      <c r="C137" s="36" t="s">
        <v>71</v>
      </c>
      <c r="D137" s="111" t="s">
        <v>69</v>
      </c>
      <c r="E137" s="89">
        <v>0.111</v>
      </c>
      <c r="F137" s="116">
        <v>0.04</v>
      </c>
      <c r="G137" s="90">
        <v>46965</v>
      </c>
      <c r="H137" s="90">
        <v>46977</v>
      </c>
      <c r="I137" s="91">
        <v>2.6986301369863015</v>
      </c>
      <c r="J137" s="92">
        <v>100</v>
      </c>
      <c r="K137" s="93">
        <v>180.9</v>
      </c>
      <c r="L137" s="94">
        <v>0.93421779988944165</v>
      </c>
      <c r="M137" s="95">
        <v>109</v>
      </c>
      <c r="N137" s="96">
        <v>0.16675147928994086</v>
      </c>
      <c r="O137" s="97">
        <v>20100</v>
      </c>
      <c r="P137" s="98">
        <v>1</v>
      </c>
      <c r="Q137" s="99">
        <v>1000</v>
      </c>
      <c r="R137" s="98">
        <v>0.26700000000000002</v>
      </c>
      <c r="S137" s="37" t="s">
        <v>28</v>
      </c>
      <c r="T137" s="38"/>
      <c r="U137" s="40"/>
      <c r="V137" s="124" t="str">
        <f t="shared" si="3"/>
        <v>意德士一永</v>
      </c>
      <c r="W137" s="125">
        <v>3.0000000000000001E-3</v>
      </c>
    </row>
    <row r="138" spans="1:23" s="5" customFormat="1" ht="17.25" customHeight="1" x14ac:dyDescent="0.4">
      <c r="A138" s="35" t="s">
        <v>220</v>
      </c>
      <c r="B138" s="113">
        <v>75562</v>
      </c>
      <c r="C138" s="36" t="s">
        <v>71</v>
      </c>
      <c r="D138" s="111" t="s">
        <v>69</v>
      </c>
      <c r="E138" s="89">
        <v>0.11130000000000001</v>
      </c>
      <c r="F138" s="116">
        <v>0.04</v>
      </c>
      <c r="G138" s="90">
        <v>46966</v>
      </c>
      <c r="H138" s="90">
        <v>46980</v>
      </c>
      <c r="I138" s="91">
        <v>2.7068493150684931</v>
      </c>
      <c r="J138" s="92">
        <v>100</v>
      </c>
      <c r="K138" s="93">
        <v>177.4</v>
      </c>
      <c r="L138" s="94">
        <v>0.95264937993235621</v>
      </c>
      <c r="M138" s="95">
        <v>114.9</v>
      </c>
      <c r="N138" s="96">
        <v>0.20611005917159778</v>
      </c>
      <c r="O138" s="97">
        <v>26030.000000000007</v>
      </c>
      <c r="P138" s="98">
        <v>1</v>
      </c>
      <c r="Q138" s="99">
        <v>2000</v>
      </c>
      <c r="R138" s="98">
        <v>0.26700000000000002</v>
      </c>
      <c r="S138" s="37" t="s">
        <v>28</v>
      </c>
      <c r="T138" s="38"/>
      <c r="U138" s="40"/>
      <c r="V138" s="124" t="str">
        <f t="shared" si="3"/>
        <v>意德士二</v>
      </c>
      <c r="W138" s="125">
        <v>3.0000000000000001E-3</v>
      </c>
    </row>
    <row r="139" spans="1:23" s="5" customFormat="1" ht="17.25" customHeight="1" x14ac:dyDescent="0.4">
      <c r="A139" s="35" t="s">
        <v>221</v>
      </c>
      <c r="B139" s="113">
        <v>74022</v>
      </c>
      <c r="C139" s="36" t="s">
        <v>71</v>
      </c>
      <c r="D139" s="111" t="s">
        <v>69</v>
      </c>
      <c r="E139" s="89">
        <v>4.8700000000000007E-2</v>
      </c>
      <c r="F139" s="116">
        <v>3.7499999999999999E-2</v>
      </c>
      <c r="G139" s="90">
        <v>46618</v>
      </c>
      <c r="H139" s="90">
        <v>46632</v>
      </c>
      <c r="I139" s="91">
        <v>1.7534246575342465</v>
      </c>
      <c r="J139" s="92">
        <v>102.01</v>
      </c>
      <c r="K139" s="93">
        <v>97.6</v>
      </c>
      <c r="L139" s="94">
        <v>1.3422131147540985</v>
      </c>
      <c r="M139" s="95">
        <v>137.15</v>
      </c>
      <c r="N139" s="96">
        <v>2.1819847328244116E-2</v>
      </c>
      <c r="O139" s="97">
        <v>42020.000000000007</v>
      </c>
      <c r="P139" s="98">
        <v>1</v>
      </c>
      <c r="Q139" s="99">
        <v>4000</v>
      </c>
      <c r="R139" s="98">
        <v>0.55700000000000005</v>
      </c>
      <c r="S139" s="37" t="s">
        <v>28</v>
      </c>
      <c r="T139" s="38"/>
      <c r="U139" s="40"/>
      <c r="V139" s="124" t="str">
        <f t="shared" si="3"/>
        <v>邑錡二</v>
      </c>
      <c r="W139" s="125">
        <v>3.0000000000000001E-3</v>
      </c>
    </row>
    <row r="140" spans="1:23" s="5" customFormat="1" ht="17.25" customHeight="1" x14ac:dyDescent="0.4">
      <c r="A140" s="35" t="s">
        <v>222</v>
      </c>
      <c r="B140" s="113">
        <v>77131</v>
      </c>
      <c r="C140" s="36" t="s">
        <v>71</v>
      </c>
      <c r="D140" s="111" t="s">
        <v>77</v>
      </c>
      <c r="E140" s="89">
        <v>5.9000000000000004E-2</v>
      </c>
      <c r="F140" s="116">
        <v>3.5000000000000003E-2</v>
      </c>
      <c r="G140" s="90">
        <v>46666</v>
      </c>
      <c r="H140" s="90">
        <v>46680</v>
      </c>
      <c r="I140" s="91">
        <v>1.8849315068493151</v>
      </c>
      <c r="J140" s="92">
        <v>101.0025</v>
      </c>
      <c r="K140" s="93">
        <v>73.900000000000006</v>
      </c>
      <c r="L140" s="94">
        <v>0.99864682002706351</v>
      </c>
      <c r="M140" s="95">
        <v>104.4</v>
      </c>
      <c r="N140" s="96">
        <v>4.541463414634167E-2</v>
      </c>
      <c r="O140" s="97">
        <v>10300.000000000007</v>
      </c>
      <c r="P140" s="98">
        <v>1</v>
      </c>
      <c r="Q140" s="99">
        <v>5000</v>
      </c>
      <c r="R140" s="98">
        <v>0.14699999999999999</v>
      </c>
      <c r="S140" s="37" t="s">
        <v>28</v>
      </c>
      <c r="T140" s="38"/>
      <c r="U140" s="40"/>
      <c r="V140" s="124" t="str">
        <f t="shared" si="3"/>
        <v>威力德生醫一</v>
      </c>
      <c r="W140" s="125">
        <v>3.0000000000000001E-3</v>
      </c>
    </row>
    <row r="141" spans="1:23" s="5" customFormat="1" ht="17.25" customHeight="1" x14ac:dyDescent="0.4">
      <c r="A141" s="128" t="s">
        <v>223</v>
      </c>
      <c r="B141" s="113">
        <v>80506</v>
      </c>
      <c r="C141" s="36" t="s">
        <v>71</v>
      </c>
      <c r="D141" s="111" t="s">
        <v>77</v>
      </c>
      <c r="E141" s="89">
        <v>6.2300000000000008E-2</v>
      </c>
      <c r="F141" s="116">
        <v>0.03</v>
      </c>
      <c r="G141" s="90">
        <v>46699</v>
      </c>
      <c r="H141" s="90">
        <v>46713</v>
      </c>
      <c r="I141" s="91">
        <v>1.9753424657534246</v>
      </c>
      <c r="J141" s="92">
        <v>100</v>
      </c>
      <c r="K141" s="93">
        <v>63.3</v>
      </c>
      <c r="L141" s="94">
        <v>0.73301737756714058</v>
      </c>
      <c r="M141" s="95">
        <v>104</v>
      </c>
      <c r="N141" s="96">
        <v>0.41879310344827586</v>
      </c>
      <c r="O141" s="97">
        <v>10230</v>
      </c>
      <c r="P141" s="98">
        <v>0.4735625</v>
      </c>
      <c r="Q141" s="99">
        <v>16000</v>
      </c>
      <c r="R141" s="98">
        <v>0.185</v>
      </c>
      <c r="S141" s="37" t="s">
        <v>28</v>
      </c>
      <c r="T141" s="38" t="s">
        <v>29</v>
      </c>
      <c r="U141" s="39"/>
      <c r="V141" s="124" t="str">
        <f t="shared" si="3"/>
        <v>廣積六</v>
      </c>
      <c r="W141" s="125">
        <v>3.0000000000000001E-3</v>
      </c>
    </row>
    <row r="142" spans="1:23" s="5" customFormat="1" ht="17.25" customHeight="1" x14ac:dyDescent="0.4">
      <c r="A142" s="35" t="s">
        <v>224</v>
      </c>
      <c r="B142" s="113">
        <v>81473</v>
      </c>
      <c r="C142" s="36" t="s">
        <v>71</v>
      </c>
      <c r="D142" s="111" t="s">
        <v>69</v>
      </c>
      <c r="E142" s="89">
        <v>7.6600000000000001E-2</v>
      </c>
      <c r="F142" s="116">
        <v>0.04</v>
      </c>
      <c r="G142" s="90">
        <v>46650</v>
      </c>
      <c r="H142" s="90">
        <v>46663</v>
      </c>
      <c r="I142" s="91">
        <v>1.8383561643835618</v>
      </c>
      <c r="J142" s="92">
        <v>100</v>
      </c>
      <c r="K142" s="93">
        <v>132.1</v>
      </c>
      <c r="L142" s="94">
        <v>0.75624526873580633</v>
      </c>
      <c r="M142" s="95">
        <v>104</v>
      </c>
      <c r="N142" s="96">
        <v>0.37521521521521495</v>
      </c>
      <c r="O142" s="97">
        <v>11660.000000000002</v>
      </c>
      <c r="P142" s="98">
        <v>0.996</v>
      </c>
      <c r="Q142" s="99">
        <v>3000</v>
      </c>
      <c r="R142" s="98">
        <v>0.35299999999999998</v>
      </c>
      <c r="S142" s="37" t="s">
        <v>28</v>
      </c>
      <c r="T142" s="38"/>
      <c r="U142" s="40"/>
      <c r="V142" s="124" t="str">
        <f t="shared" si="3"/>
        <v>正淩三</v>
      </c>
      <c r="W142" s="125">
        <v>3.0000000000000001E-3</v>
      </c>
    </row>
    <row r="143" spans="1:23" s="5" customFormat="1" ht="17.25" customHeight="1" x14ac:dyDescent="0.4">
      <c r="A143" s="35" t="s">
        <v>225</v>
      </c>
      <c r="B143" s="113">
        <v>81551</v>
      </c>
      <c r="C143" s="36" t="s">
        <v>71</v>
      </c>
      <c r="D143" s="111" t="s">
        <v>73</v>
      </c>
      <c r="E143" s="89">
        <v>5.5800000000000002E-2</v>
      </c>
      <c r="F143" s="116">
        <v>2.5000000000000001E-2</v>
      </c>
      <c r="G143" s="90">
        <v>46748</v>
      </c>
      <c r="H143" s="90">
        <v>46762</v>
      </c>
      <c r="I143" s="91">
        <v>2.1095890410958904</v>
      </c>
      <c r="J143" s="92">
        <v>100</v>
      </c>
      <c r="K143" s="93">
        <v>121.6</v>
      </c>
      <c r="L143" s="94">
        <v>1.4679276315789473</v>
      </c>
      <c r="M143" s="95">
        <v>146.75</v>
      </c>
      <c r="N143" s="96">
        <v>-2.9131652661066465E-4</v>
      </c>
      <c r="O143" s="97">
        <v>52330</v>
      </c>
      <c r="P143" s="98">
        <v>0.89500000000000002</v>
      </c>
      <c r="Q143" s="99">
        <v>10000</v>
      </c>
      <c r="R143" s="98">
        <v>0.54</v>
      </c>
      <c r="S143" s="37" t="s">
        <v>28</v>
      </c>
      <c r="T143" s="38"/>
      <c r="U143" s="40"/>
      <c r="V143" s="124" t="str">
        <f t="shared" si="3"/>
        <v>博智一</v>
      </c>
      <c r="W143" s="125">
        <v>3.0000000000000001E-3</v>
      </c>
    </row>
    <row r="144" spans="1:23" s="5" customFormat="1" ht="17" x14ac:dyDescent="0.4">
      <c r="A144" s="35" t="s">
        <v>226</v>
      </c>
      <c r="B144" s="113">
        <v>82551</v>
      </c>
      <c r="C144" s="36" t="s">
        <v>71</v>
      </c>
      <c r="D144" s="111" t="s">
        <v>73</v>
      </c>
      <c r="E144" s="89">
        <v>2.1599999999999998E-2</v>
      </c>
      <c r="F144" s="116">
        <v>2.7E-2</v>
      </c>
      <c r="G144" s="90">
        <v>46230</v>
      </c>
      <c r="H144" s="90">
        <v>46243</v>
      </c>
      <c r="I144" s="91">
        <v>0.68767123287671228</v>
      </c>
      <c r="J144" s="92">
        <v>100</v>
      </c>
      <c r="K144" s="93">
        <v>196.2</v>
      </c>
      <c r="L144" s="94">
        <v>0.64475025484199799</v>
      </c>
      <c r="M144" s="95">
        <v>105.85</v>
      </c>
      <c r="N144" s="96">
        <v>0.64172094861660045</v>
      </c>
      <c r="O144" s="97">
        <v>8009.9999999999936</v>
      </c>
      <c r="P144" s="98">
        <v>0.99987499999999996</v>
      </c>
      <c r="Q144" s="99">
        <v>8000</v>
      </c>
      <c r="R144" s="98">
        <v>0.36399999999999999</v>
      </c>
      <c r="S144" s="37" t="s">
        <v>28</v>
      </c>
      <c r="T144" s="38"/>
      <c r="U144" s="40"/>
      <c r="V144" s="124" t="str">
        <f t="shared" si="3"/>
        <v>朋程一</v>
      </c>
      <c r="W144" s="125">
        <v>3.0000000000000001E-3</v>
      </c>
    </row>
    <row r="145" spans="1:23" s="5" customFormat="1" ht="17.149999999999999" customHeight="1" x14ac:dyDescent="0.4">
      <c r="A145" s="35" t="s">
        <v>227</v>
      </c>
      <c r="B145" s="113">
        <v>84041</v>
      </c>
      <c r="C145" s="36" t="s">
        <v>228</v>
      </c>
      <c r="D145" s="111" t="s">
        <v>67</v>
      </c>
      <c r="E145" s="89">
        <v>4.3500000000000004E-2</v>
      </c>
      <c r="F145" s="116">
        <v>2.1999999999999999E-2</v>
      </c>
      <c r="G145" s="90">
        <v>46650</v>
      </c>
      <c r="H145" s="90">
        <v>46663</v>
      </c>
      <c r="I145" s="91">
        <v>1.8383561643835618</v>
      </c>
      <c r="J145" s="92">
        <v>100</v>
      </c>
      <c r="K145" s="93">
        <v>26.8</v>
      </c>
      <c r="L145" s="94">
        <v>0.94029850746268651</v>
      </c>
      <c r="M145" s="95">
        <v>117.65</v>
      </c>
      <c r="N145" s="96">
        <v>0.25119841269841287</v>
      </c>
      <c r="O145" s="97">
        <v>22000.000000000007</v>
      </c>
      <c r="P145" s="98">
        <v>1</v>
      </c>
      <c r="Q145" s="99">
        <v>10000</v>
      </c>
      <c r="R145" s="98">
        <v>0.39200000000000002</v>
      </c>
      <c r="S145" s="37" t="s">
        <v>28</v>
      </c>
      <c r="T145" s="38"/>
      <c r="U145" s="39"/>
      <c r="V145" s="124" t="str">
        <f t="shared" si="3"/>
        <v>百和興業一KY</v>
      </c>
      <c r="W145" s="125">
        <v>3.0000000000000001E-3</v>
      </c>
    </row>
    <row r="146" spans="1:23" s="5" customFormat="1" ht="17.25" customHeight="1" x14ac:dyDescent="0.4">
      <c r="A146" s="35" t="s">
        <v>229</v>
      </c>
      <c r="B146" s="113">
        <v>84113</v>
      </c>
      <c r="C146" s="36" t="s">
        <v>230</v>
      </c>
      <c r="D146" s="111" t="s">
        <v>69</v>
      </c>
      <c r="E146" s="89">
        <v>5.4200000000000005E-2</v>
      </c>
      <c r="F146" s="116">
        <v>2.1999999999999999E-2</v>
      </c>
      <c r="G146" s="90">
        <v>46952</v>
      </c>
      <c r="H146" s="90">
        <v>46966</v>
      </c>
      <c r="I146" s="91">
        <v>2.6684931506849314</v>
      </c>
      <c r="J146" s="92">
        <v>100.75190000000001</v>
      </c>
      <c r="K146" s="93">
        <v>13.3</v>
      </c>
      <c r="L146" s="94">
        <v>0.92857142857142849</v>
      </c>
      <c r="M146" s="95">
        <v>100.3</v>
      </c>
      <c r="N146" s="96">
        <v>8.0153846153846242E-2</v>
      </c>
      <c r="O146" s="97">
        <v>5719.9999999999973</v>
      </c>
      <c r="P146" s="98">
        <v>1</v>
      </c>
      <c r="Q146" s="99">
        <v>12000</v>
      </c>
      <c r="R146" s="98">
        <v>0.124</v>
      </c>
      <c r="S146" s="37" t="s">
        <v>28</v>
      </c>
      <c r="T146" s="38"/>
      <c r="U146" s="39"/>
      <c r="V146" s="124" t="str">
        <f t="shared" si="3"/>
        <v>福貞三KY</v>
      </c>
      <c r="W146" s="125">
        <v>3.0000000000000001E-3</v>
      </c>
    </row>
    <row r="147" spans="1:23" s="5" customFormat="1" ht="17.25" customHeight="1" x14ac:dyDescent="0.4">
      <c r="A147" s="128" t="s">
        <v>231</v>
      </c>
      <c r="B147" s="113">
        <v>84221</v>
      </c>
      <c r="C147" s="36" t="s">
        <v>71</v>
      </c>
      <c r="D147" s="111" t="s">
        <v>73</v>
      </c>
      <c r="E147" s="89">
        <v>3.3099999999999997E-2</v>
      </c>
      <c r="F147" s="116">
        <v>2.8000000000000001E-2</v>
      </c>
      <c r="G147" s="90">
        <v>46699</v>
      </c>
      <c r="H147" s="90">
        <v>46713</v>
      </c>
      <c r="I147" s="91">
        <v>1.9753424657534246</v>
      </c>
      <c r="J147" s="92">
        <v>102.52509999999999</v>
      </c>
      <c r="K147" s="93">
        <v>14.6</v>
      </c>
      <c r="L147" s="94">
        <v>1.6678082191780823</v>
      </c>
      <c r="M147" s="95">
        <v>165</v>
      </c>
      <c r="N147" s="96">
        <v>-1.0677618069815232E-2</v>
      </c>
      <c r="O147" s="97">
        <v>68310</v>
      </c>
      <c r="P147" s="98">
        <v>0.57904</v>
      </c>
      <c r="Q147" s="99">
        <v>25000</v>
      </c>
      <c r="R147" s="98">
        <v>0.63400000000000001</v>
      </c>
      <c r="S147" s="37" t="s">
        <v>28</v>
      </c>
      <c r="T147" s="38" t="s">
        <v>29</v>
      </c>
      <c r="U147" s="39"/>
      <c r="V147" s="124" t="str">
        <f t="shared" si="3"/>
        <v>可寧衛一</v>
      </c>
      <c r="W147" s="125">
        <v>3.0000000000000001E-3</v>
      </c>
    </row>
    <row r="148" spans="1:23" s="5" customFormat="1" ht="17" x14ac:dyDescent="0.4">
      <c r="A148" s="35" t="s">
        <v>232</v>
      </c>
      <c r="B148" s="113">
        <v>84222</v>
      </c>
      <c r="C148" s="36" t="s">
        <v>71</v>
      </c>
      <c r="D148" s="111" t="s">
        <v>73</v>
      </c>
      <c r="E148" s="89">
        <v>7.3599999999999999E-2</v>
      </c>
      <c r="F148" s="116">
        <v>0.03</v>
      </c>
      <c r="G148" s="90">
        <v>46836</v>
      </c>
      <c r="H148" s="90">
        <v>46850</v>
      </c>
      <c r="I148" s="91">
        <v>2.3506849315068492</v>
      </c>
      <c r="J148" s="92">
        <v>100</v>
      </c>
      <c r="K148" s="93">
        <v>19</v>
      </c>
      <c r="L148" s="94">
        <v>1.2815789473684212</v>
      </c>
      <c r="M148" s="95">
        <v>128</v>
      </c>
      <c r="N148" s="96">
        <v>-1.2320328542094806E-3</v>
      </c>
      <c r="O148" s="97">
        <v>35360</v>
      </c>
      <c r="P148" s="98">
        <v>0.99985000000000002</v>
      </c>
      <c r="Q148" s="99">
        <v>20000</v>
      </c>
      <c r="R148" s="98">
        <v>0.63400000000000001</v>
      </c>
      <c r="S148" s="37" t="s">
        <v>28</v>
      </c>
      <c r="T148" s="38"/>
      <c r="U148" s="40"/>
      <c r="V148" s="124" t="str">
        <f t="shared" si="3"/>
        <v>可寧衛二</v>
      </c>
      <c r="W148" s="125">
        <v>3.0000000000000001E-3</v>
      </c>
    </row>
    <row r="149" spans="1:23" s="5" customFormat="1" ht="17" x14ac:dyDescent="0.4">
      <c r="A149" s="35" t="s">
        <v>233</v>
      </c>
      <c r="B149" s="113">
        <v>84422</v>
      </c>
      <c r="C149" s="36" t="s">
        <v>61</v>
      </c>
      <c r="D149" s="111" t="s">
        <v>69</v>
      </c>
      <c r="E149" s="89">
        <v>2.2499999999999999E-2</v>
      </c>
      <c r="F149" s="116">
        <v>2.1999999999999999E-2</v>
      </c>
      <c r="G149" s="90">
        <v>46300</v>
      </c>
      <c r="H149" s="90">
        <v>46314</v>
      </c>
      <c r="I149" s="91">
        <v>0.88219178082191785</v>
      </c>
      <c r="J149" s="92">
        <v>100</v>
      </c>
      <c r="K149" s="93">
        <v>73.900000000000006</v>
      </c>
      <c r="L149" s="94">
        <v>0.96752368064952632</v>
      </c>
      <c r="M149" s="95">
        <v>116</v>
      </c>
      <c r="N149" s="96">
        <v>0.19893706293706298</v>
      </c>
      <c r="O149" s="97">
        <v>18250</v>
      </c>
      <c r="P149" s="98">
        <v>0.90375000000000005</v>
      </c>
      <c r="Q149" s="99">
        <v>4000</v>
      </c>
      <c r="R149" s="98">
        <v>0.34300000000000003</v>
      </c>
      <c r="S149" s="37" t="s">
        <v>27</v>
      </c>
      <c r="T149" s="38"/>
      <c r="U149" s="40"/>
      <c r="V149" s="124" t="str">
        <f t="shared" si="3"/>
        <v>威宏二KY</v>
      </c>
      <c r="W149" s="125">
        <v>3.0000000000000001E-3</v>
      </c>
    </row>
    <row r="150" spans="1:23" s="5" customFormat="1" ht="17.25" customHeight="1" x14ac:dyDescent="0.4">
      <c r="A150" s="35" t="s">
        <v>234</v>
      </c>
      <c r="B150" s="113">
        <v>84672</v>
      </c>
      <c r="C150" s="36" t="s">
        <v>61</v>
      </c>
      <c r="D150" s="111" t="s">
        <v>69</v>
      </c>
      <c r="E150" s="89">
        <v>3.5900000000000008E-2</v>
      </c>
      <c r="F150" s="116">
        <v>2.1999999999999999E-2</v>
      </c>
      <c r="G150" s="90">
        <v>46524</v>
      </c>
      <c r="H150" s="90">
        <v>46537</v>
      </c>
      <c r="I150" s="91">
        <v>1.4931506849315068</v>
      </c>
      <c r="J150" s="92">
        <v>100</v>
      </c>
      <c r="K150" s="93">
        <v>191.4</v>
      </c>
      <c r="L150" s="94">
        <v>0.82549634273772199</v>
      </c>
      <c r="M150" s="95">
        <v>115</v>
      </c>
      <c r="N150" s="96">
        <v>0.39310126582278493</v>
      </c>
      <c r="O150" s="97">
        <v>18590</v>
      </c>
      <c r="P150" s="98">
        <v>0.55238095238095242</v>
      </c>
      <c r="Q150" s="99">
        <v>2100</v>
      </c>
      <c r="R150" s="98">
        <v>0.41499999999999998</v>
      </c>
      <c r="S150" s="37" t="s">
        <v>27</v>
      </c>
      <c r="T150" s="38"/>
      <c r="U150" s="40"/>
      <c r="V150" s="124" t="str">
        <f t="shared" si="3"/>
        <v>波力二KY</v>
      </c>
      <c r="W150" s="125">
        <v>3.0000000000000001E-3</v>
      </c>
    </row>
    <row r="151" spans="1:23" s="5" customFormat="1" ht="17.25" customHeight="1" x14ac:dyDescent="0.4">
      <c r="A151" s="35" t="s">
        <v>235</v>
      </c>
      <c r="B151" s="113">
        <v>84732</v>
      </c>
      <c r="C151" s="36" t="s">
        <v>71</v>
      </c>
      <c r="D151" s="111" t="s">
        <v>69</v>
      </c>
      <c r="E151" s="89">
        <v>1.7299999999999999E-2</v>
      </c>
      <c r="F151" s="116">
        <v>3.2500000000000001E-2</v>
      </c>
      <c r="G151" s="90">
        <v>46279</v>
      </c>
      <c r="H151" s="90">
        <v>46293</v>
      </c>
      <c r="I151" s="91">
        <v>0.8246575342465754</v>
      </c>
      <c r="J151" s="92">
        <v>101.26</v>
      </c>
      <c r="K151" s="93">
        <v>34.1</v>
      </c>
      <c r="L151" s="94">
        <v>1.0747800586510263</v>
      </c>
      <c r="M151" s="95">
        <v>110</v>
      </c>
      <c r="N151" s="96">
        <v>2.3465211459754515E-2</v>
      </c>
      <c r="O151" s="97">
        <v>11730</v>
      </c>
      <c r="P151" s="98">
        <v>0.24879999999999999</v>
      </c>
      <c r="Q151" s="99">
        <v>10000</v>
      </c>
      <c r="R151" s="98">
        <v>0.442</v>
      </c>
      <c r="S151" s="37" t="s">
        <v>28</v>
      </c>
      <c r="T151" s="38" t="s">
        <v>3</v>
      </c>
      <c r="U151" s="40"/>
      <c r="V151" s="124" t="str">
        <f t="shared" si="3"/>
        <v>山林水二</v>
      </c>
      <c r="W151" s="125">
        <v>3.0000000000000001E-3</v>
      </c>
    </row>
    <row r="152" spans="1:23" s="5" customFormat="1" ht="17.25" customHeight="1" x14ac:dyDescent="0.4">
      <c r="A152" s="35" t="s">
        <v>236</v>
      </c>
      <c r="B152" s="113">
        <v>84881</v>
      </c>
      <c r="C152" s="36" t="s">
        <v>237</v>
      </c>
      <c r="D152" s="111" t="s">
        <v>67</v>
      </c>
      <c r="E152" s="89">
        <v>2.6099999999999998E-2</v>
      </c>
      <c r="F152" s="116">
        <v>2.1999999999999999E-2</v>
      </c>
      <c r="G152" s="90">
        <v>46363</v>
      </c>
      <c r="H152" s="90">
        <v>46375</v>
      </c>
      <c r="I152" s="91">
        <v>1.0493150684931507</v>
      </c>
      <c r="J152" s="92">
        <v>100</v>
      </c>
      <c r="K152" s="93">
        <v>18.399999999999999</v>
      </c>
      <c r="L152" s="94">
        <v>0.55163043478260876</v>
      </c>
      <c r="M152" s="95">
        <v>98.7</v>
      </c>
      <c r="N152" s="96">
        <v>0.78924137931034477</v>
      </c>
      <c r="O152" s="97">
        <v>1310.0000000000027</v>
      </c>
      <c r="P152" s="98">
        <v>1</v>
      </c>
      <c r="Q152" s="99">
        <v>3000</v>
      </c>
      <c r="R152" s="98">
        <v>0.215</v>
      </c>
      <c r="S152" s="37" t="s">
        <v>27</v>
      </c>
      <c r="T152" s="38"/>
      <c r="U152" s="40"/>
      <c r="V152" s="124" t="str">
        <f t="shared" si="3"/>
        <v>吉源一KY</v>
      </c>
      <c r="W152" s="125">
        <v>3.0000000000000001E-3</v>
      </c>
    </row>
    <row r="153" spans="1:23" s="5" customFormat="1" ht="17.25" customHeight="1" x14ac:dyDescent="0.4">
      <c r="A153" s="35" t="s">
        <v>238</v>
      </c>
      <c r="B153" s="113">
        <v>84891</v>
      </c>
      <c r="C153" s="36" t="s">
        <v>239</v>
      </c>
      <c r="D153" s="111" t="s">
        <v>69</v>
      </c>
      <c r="E153" s="89">
        <v>2.35E-2</v>
      </c>
      <c r="F153" s="116">
        <v>2.1999999999999999E-2</v>
      </c>
      <c r="G153" s="90">
        <v>46351</v>
      </c>
      <c r="H153" s="90">
        <v>46365</v>
      </c>
      <c r="I153" s="91">
        <v>1.021917808219178</v>
      </c>
      <c r="J153" s="92">
        <v>100.20010000000001</v>
      </c>
      <c r="K153" s="93">
        <v>28.8</v>
      </c>
      <c r="L153" s="94">
        <v>1.4409722222222221</v>
      </c>
      <c r="M153" s="95">
        <v>138.80000000000001</v>
      </c>
      <c r="N153" s="96">
        <v>-3.6761445783132306E-2</v>
      </c>
      <c r="O153" s="97">
        <v>41150.000000000015</v>
      </c>
      <c r="P153" s="98">
        <v>0.60872314988854093</v>
      </c>
      <c r="Q153" s="99">
        <v>3329.9209999999998</v>
      </c>
      <c r="R153" s="98">
        <v>0.308</v>
      </c>
      <c r="S153" s="37" t="s">
        <v>27</v>
      </c>
      <c r="T153" s="38"/>
      <c r="U153" s="40"/>
      <c r="V153" s="124" t="str">
        <f t="shared" si="3"/>
        <v>三貝德一</v>
      </c>
      <c r="W153" s="125">
        <v>3.0000000000000001E-3</v>
      </c>
    </row>
    <row r="154" spans="1:23" s="5" customFormat="1" ht="17.25" customHeight="1" x14ac:dyDescent="0.4">
      <c r="A154" s="35" t="s">
        <v>240</v>
      </c>
      <c r="B154" s="113">
        <v>98026</v>
      </c>
      <c r="C154" s="36" t="s">
        <v>71</v>
      </c>
      <c r="D154" s="111" t="s">
        <v>73</v>
      </c>
      <c r="E154" s="89">
        <v>2.6499999999999999E-2</v>
      </c>
      <c r="F154" s="116">
        <v>3.5000000000000003E-2</v>
      </c>
      <c r="G154" s="90">
        <v>46328</v>
      </c>
      <c r="H154" s="90">
        <v>46341</v>
      </c>
      <c r="I154" s="91">
        <v>0.95616438356164379</v>
      </c>
      <c r="J154" s="92">
        <v>101.0025</v>
      </c>
      <c r="K154" s="93">
        <v>106.4</v>
      </c>
      <c r="L154" s="94">
        <v>1.0479323308270676</v>
      </c>
      <c r="M154" s="95">
        <v>126.5</v>
      </c>
      <c r="N154" s="96">
        <v>0.20713901345291486</v>
      </c>
      <c r="O154" s="97">
        <v>29150.000000000004</v>
      </c>
      <c r="P154" s="98">
        <v>0.99980000000000002</v>
      </c>
      <c r="Q154" s="99">
        <v>10000</v>
      </c>
      <c r="R154" s="98">
        <v>0.49099999999999999</v>
      </c>
      <c r="S154" s="37" t="s">
        <v>28</v>
      </c>
      <c r="T154" s="38"/>
      <c r="U154" s="40"/>
      <c r="V154" s="124" t="str">
        <f t="shared" si="3"/>
        <v>鈺齊六KY</v>
      </c>
      <c r="W154" s="125">
        <v>3.0000000000000001E-3</v>
      </c>
    </row>
    <row r="155" spans="1:23" s="5" customFormat="1" ht="17.25" customHeight="1" x14ac:dyDescent="0.4">
      <c r="A155" s="35" t="s">
        <v>241</v>
      </c>
      <c r="B155" s="113">
        <v>99392</v>
      </c>
      <c r="C155" s="36" t="s">
        <v>71</v>
      </c>
      <c r="D155" s="111" t="s">
        <v>73</v>
      </c>
      <c r="E155" s="89">
        <v>5.2700000000000004E-2</v>
      </c>
      <c r="F155" s="116">
        <v>2.5999999999999999E-2</v>
      </c>
      <c r="G155" s="90">
        <v>46675</v>
      </c>
      <c r="H155" s="90">
        <v>46689</v>
      </c>
      <c r="I155" s="91">
        <v>1.9095890410958904</v>
      </c>
      <c r="J155" s="92">
        <v>100</v>
      </c>
      <c r="K155" s="93">
        <v>161.19999999999999</v>
      </c>
      <c r="L155" s="94">
        <v>0.794044665012407</v>
      </c>
      <c r="M155" s="95">
        <v>105.2</v>
      </c>
      <c r="N155" s="96">
        <v>0.32486249999999989</v>
      </c>
      <c r="O155" s="97">
        <v>10470.000000000004</v>
      </c>
      <c r="P155" s="98">
        <v>0.99997499999999995</v>
      </c>
      <c r="Q155" s="99">
        <v>40000</v>
      </c>
      <c r="R155" s="98">
        <v>0.221</v>
      </c>
      <c r="S155" s="37" t="s">
        <v>28</v>
      </c>
      <c r="T155" s="38"/>
      <c r="U155" s="40"/>
      <c r="V155" s="124" t="str">
        <f t="shared" si="3"/>
        <v>宏全二</v>
      </c>
      <c r="W155" s="125">
        <v>3.0000000000000001E-3</v>
      </c>
    </row>
    <row r="156" spans="1:23" s="5" customFormat="1" ht="17.25" customHeight="1" x14ac:dyDescent="0.4">
      <c r="A156" s="46"/>
      <c r="B156" s="32"/>
      <c r="C156" s="47"/>
      <c r="D156" s="46"/>
      <c r="E156" s="10"/>
      <c r="F156" s="118"/>
      <c r="G156" s="46" t="s">
        <v>3</v>
      </c>
      <c r="H156" s="46"/>
      <c r="I156" s="19"/>
      <c r="J156" s="20"/>
      <c r="K156" s="20"/>
      <c r="L156" s="48"/>
      <c r="M156" s="48"/>
      <c r="N156" s="48"/>
      <c r="O156" s="48"/>
      <c r="P156" s="48"/>
      <c r="Q156" s="49"/>
      <c r="R156" s="48"/>
      <c r="S156" s="50"/>
      <c r="T156" s="51"/>
      <c r="U156" s="40"/>
      <c r="V156" s="33"/>
      <c r="W156" s="126"/>
    </row>
    <row r="157" spans="1:23" s="5" customFormat="1" ht="17.25" customHeight="1" x14ac:dyDescent="0.4">
      <c r="A157" s="46" t="s">
        <v>37</v>
      </c>
      <c r="B157" s="32"/>
      <c r="C157" s="47"/>
      <c r="D157" s="46"/>
      <c r="E157" s="10"/>
      <c r="F157" s="118"/>
      <c r="G157" s="46" t="s">
        <v>3</v>
      </c>
      <c r="H157" s="46"/>
      <c r="I157" s="19"/>
      <c r="J157" s="20"/>
      <c r="K157" s="20"/>
      <c r="L157" s="48"/>
      <c r="M157" s="48"/>
      <c r="N157" s="48"/>
      <c r="O157" s="48"/>
      <c r="P157" s="48"/>
      <c r="Q157" s="49"/>
      <c r="R157" s="48"/>
      <c r="S157" s="50"/>
      <c r="T157" s="51"/>
      <c r="U157" s="14"/>
      <c r="V157" s="33"/>
      <c r="W157" s="126"/>
    </row>
    <row r="158" spans="1:23" s="5" customFormat="1" ht="8.15" customHeight="1" x14ac:dyDescent="0.4">
      <c r="A158" s="46"/>
      <c r="B158" s="32"/>
      <c r="C158" s="47"/>
      <c r="D158" s="46"/>
      <c r="E158" s="10"/>
      <c r="F158" s="118" t="s">
        <v>3</v>
      </c>
      <c r="G158" s="46"/>
      <c r="H158" s="46"/>
      <c r="I158" s="19"/>
      <c r="J158" s="20"/>
      <c r="K158" s="20"/>
      <c r="L158" s="48"/>
      <c r="M158" s="48"/>
      <c r="N158" s="48"/>
      <c r="O158" s="48"/>
      <c r="P158" s="48"/>
      <c r="Q158" s="49"/>
      <c r="R158" s="48"/>
      <c r="S158" s="50"/>
      <c r="T158" s="51"/>
      <c r="U158" s="14"/>
      <c r="V158" s="33"/>
      <c r="W158" s="126"/>
    </row>
    <row r="159" spans="1:23" s="5" customFormat="1" ht="17.25" customHeight="1" x14ac:dyDescent="0.4">
      <c r="A159" s="53"/>
      <c r="B159" s="54" t="s">
        <v>38</v>
      </c>
      <c r="C159" s="54" t="s">
        <v>39</v>
      </c>
      <c r="D159" s="55" t="s">
        <v>40</v>
      </c>
      <c r="E159" s="55"/>
      <c r="F159" s="56" t="s">
        <v>41</v>
      </c>
      <c r="G159" s="55" t="s">
        <v>42</v>
      </c>
      <c r="H159" s="55"/>
      <c r="I159" s="55" t="s">
        <v>43</v>
      </c>
      <c r="J159" s="55"/>
      <c r="K159" s="48"/>
      <c r="L159" s="48"/>
      <c r="M159" s="48"/>
      <c r="N159" s="48"/>
      <c r="O159" s="48"/>
      <c r="P159" s="50"/>
      <c r="Q159" s="57"/>
      <c r="R159" s="51"/>
      <c r="S159" s="51"/>
      <c r="T159" s="58"/>
      <c r="U159" s="4"/>
      <c r="V159" s="126"/>
      <c r="W159" s="127"/>
    </row>
    <row r="160" spans="1:23" s="5" customFormat="1" ht="17.25" customHeight="1" x14ac:dyDescent="0.4">
      <c r="A160" s="59" t="s">
        <v>44</v>
      </c>
      <c r="B160" s="60">
        <v>23683</v>
      </c>
      <c r="C160" s="61" t="str">
        <f>VLOOKUP(B160,B1:W156,21,FALSE)</f>
        <v>金像電三</v>
      </c>
      <c r="D160" s="62">
        <f>VLOOKUP(B160,B1:W156,5,FALSE)</f>
        <v>2.4E-2</v>
      </c>
      <c r="E160" s="62"/>
      <c r="F160" s="63">
        <f>ROUND(VLOOKUP(B160,B1:W156,4,FALSE),4)</f>
        <v>7.4700000000000003E-2</v>
      </c>
      <c r="G160" s="64">
        <f>VLOOKUP(B160,B:S,12,FALSE)</f>
        <v>148.19999999999999</v>
      </c>
      <c r="H160" s="64"/>
      <c r="I160" s="65">
        <f>(F160+(G160/100-1))*100000</f>
        <v>55670</v>
      </c>
      <c r="J160" s="65"/>
      <c r="K160" s="66" t="s">
        <v>45</v>
      </c>
      <c r="L160" s="48"/>
      <c r="M160" s="48"/>
      <c r="N160" s="48"/>
      <c r="O160" s="48"/>
      <c r="P160" s="50"/>
      <c r="Q160" s="57"/>
      <c r="R160" s="51"/>
      <c r="S160" s="51"/>
      <c r="T160" s="58"/>
      <c r="U160" s="4"/>
      <c r="V160" s="126"/>
      <c r="W160" s="127"/>
    </row>
    <row r="161" spans="1:23" s="5" customFormat="1" ht="17.25" customHeight="1" x14ac:dyDescent="0.4">
      <c r="A161" s="46"/>
      <c r="B161" s="32"/>
      <c r="C161" s="47"/>
      <c r="D161" s="46"/>
      <c r="E161" s="10"/>
      <c r="F161" s="118"/>
      <c r="G161" s="46"/>
      <c r="H161" s="46"/>
      <c r="I161" s="19"/>
      <c r="J161" s="20"/>
      <c r="K161" s="20"/>
      <c r="L161" s="48"/>
      <c r="M161" s="48"/>
      <c r="N161" s="48"/>
      <c r="O161" s="48"/>
      <c r="P161" s="48"/>
      <c r="Q161" s="49"/>
      <c r="R161" s="48"/>
      <c r="S161" s="50"/>
      <c r="T161" s="51"/>
      <c r="U161" s="14"/>
      <c r="V161" s="33"/>
      <c r="W161" s="126"/>
    </row>
    <row r="162" spans="1:23" s="5" customFormat="1" ht="17.25" customHeight="1" x14ac:dyDescent="0.4">
      <c r="A162" s="46" t="s">
        <v>46</v>
      </c>
      <c r="B162" s="32"/>
      <c r="C162" s="47"/>
      <c r="D162" s="46"/>
      <c r="E162" s="10"/>
      <c r="F162" s="118"/>
      <c r="G162" s="46"/>
      <c r="H162" s="46"/>
      <c r="I162" s="19"/>
      <c r="J162" s="20"/>
      <c r="L162" s="48"/>
      <c r="M162" s="48"/>
      <c r="N162" s="48"/>
      <c r="O162" s="48"/>
      <c r="P162" s="48"/>
      <c r="Q162" s="49"/>
      <c r="R162" s="48"/>
      <c r="S162" s="50"/>
      <c r="T162" s="51"/>
      <c r="U162" s="14"/>
      <c r="V162" s="33"/>
      <c r="W162" s="126"/>
    </row>
    <row r="163" spans="1:23" ht="17.25" customHeight="1" x14ac:dyDescent="0.4">
      <c r="A163" s="46" t="s">
        <v>47</v>
      </c>
      <c r="C163" s="47"/>
      <c r="D163" s="46"/>
      <c r="E163" s="10"/>
      <c r="F163" s="51"/>
      <c r="G163" s="46"/>
      <c r="H163" s="46"/>
      <c r="I163" s="19"/>
      <c r="J163" s="20"/>
      <c r="K163" s="20"/>
      <c r="L163" s="67"/>
      <c r="M163" s="67"/>
      <c r="N163" s="67"/>
      <c r="O163" s="67"/>
      <c r="P163" s="67"/>
      <c r="Q163" s="68"/>
      <c r="R163" s="67"/>
      <c r="S163" s="50"/>
      <c r="T163" s="51"/>
      <c r="U163" s="14"/>
    </row>
    <row r="164" spans="1:23" ht="17.25" customHeight="1" x14ac:dyDescent="0.4">
      <c r="A164" s="46" t="s">
        <v>48</v>
      </c>
      <c r="C164" s="47"/>
      <c r="D164" s="46"/>
      <c r="E164" s="10"/>
      <c r="F164" s="51"/>
      <c r="G164" s="46"/>
      <c r="H164" s="46"/>
      <c r="I164" s="19"/>
      <c r="J164" s="20"/>
      <c r="K164" s="20"/>
      <c r="L164" s="67"/>
      <c r="M164" s="67"/>
      <c r="N164" s="67"/>
      <c r="O164" s="67"/>
      <c r="P164" s="67"/>
      <c r="Q164" s="68"/>
      <c r="R164" s="67"/>
      <c r="S164" s="50"/>
      <c r="T164" s="51"/>
      <c r="U164" s="14"/>
    </row>
    <row r="165" spans="1:23" ht="17.25" customHeight="1" x14ac:dyDescent="0.4">
      <c r="A165" s="69" t="s">
        <v>49</v>
      </c>
      <c r="C165" s="47"/>
      <c r="D165" s="46"/>
      <c r="E165" s="10"/>
      <c r="F165" s="51"/>
      <c r="G165" s="46"/>
      <c r="H165" s="46"/>
      <c r="I165" s="19"/>
      <c r="J165" s="20"/>
      <c r="K165" s="20"/>
      <c r="L165" s="67"/>
      <c r="M165" s="67"/>
      <c r="N165" s="67"/>
      <c r="O165" s="67"/>
      <c r="P165" s="67"/>
      <c r="Q165" s="68"/>
      <c r="R165" s="67"/>
      <c r="S165" s="50"/>
      <c r="T165" s="51"/>
      <c r="U165" s="14"/>
      <c r="W165" s="126"/>
    </row>
    <row r="166" spans="1:23" ht="17.25" customHeight="1" x14ac:dyDescent="0.4">
      <c r="A166" s="46" t="s">
        <v>50</v>
      </c>
      <c r="C166" s="47"/>
      <c r="D166" s="46"/>
      <c r="E166" s="10"/>
      <c r="F166" s="10"/>
      <c r="G166" s="46"/>
      <c r="H166" s="46"/>
      <c r="I166" s="19"/>
      <c r="J166" s="47"/>
      <c r="K166" s="47"/>
      <c r="L166" s="46"/>
      <c r="M166" s="46"/>
      <c r="N166" s="46"/>
      <c r="O166" s="46"/>
      <c r="P166" s="46"/>
      <c r="Q166" s="70"/>
      <c r="R166" s="46"/>
      <c r="S166" s="47"/>
      <c r="T166" s="10"/>
      <c r="U166" s="71"/>
      <c r="W166" s="126"/>
    </row>
    <row r="167" spans="1:23" ht="17.25" customHeight="1" x14ac:dyDescent="0.4">
      <c r="A167" s="46" t="s">
        <v>51</v>
      </c>
      <c r="B167" s="72"/>
      <c r="C167" s="72"/>
      <c r="D167" s="72"/>
      <c r="E167" s="75"/>
      <c r="F167" s="75"/>
      <c r="G167" s="72"/>
      <c r="H167" s="72"/>
      <c r="I167" s="73"/>
      <c r="J167" s="72"/>
      <c r="K167" s="72"/>
      <c r="L167" s="72"/>
      <c r="M167" s="72"/>
      <c r="N167" s="72"/>
      <c r="O167" s="72"/>
      <c r="P167" s="72"/>
      <c r="Q167" s="74"/>
      <c r="R167" s="72"/>
      <c r="S167" s="72"/>
      <c r="T167" s="75"/>
      <c r="U167" s="76"/>
      <c r="W167" s="126"/>
    </row>
    <row r="168" spans="1:23" ht="17.25" customHeight="1" x14ac:dyDescent="0.4">
      <c r="A168" s="72" t="s">
        <v>3</v>
      </c>
      <c r="B168" s="72"/>
      <c r="C168" s="72"/>
      <c r="D168" s="72"/>
      <c r="E168" s="75"/>
      <c r="F168" s="75"/>
      <c r="G168" s="72"/>
      <c r="H168" s="72"/>
      <c r="I168" s="73"/>
      <c r="J168" s="72"/>
      <c r="K168" s="72"/>
      <c r="L168" s="72"/>
      <c r="M168" s="72"/>
      <c r="N168" s="72"/>
      <c r="O168" s="72"/>
      <c r="P168" s="72"/>
      <c r="Q168" s="74"/>
      <c r="R168" s="72"/>
      <c r="S168" s="72"/>
      <c r="T168" s="75"/>
      <c r="U168" s="76"/>
      <c r="W168" s="126"/>
    </row>
    <row r="169" spans="1:23" ht="17.25" customHeight="1" x14ac:dyDescent="0.4">
      <c r="A169" s="46" t="s">
        <v>52</v>
      </c>
      <c r="C169" s="47"/>
      <c r="D169" s="46"/>
      <c r="E169" s="10"/>
      <c r="F169" s="51"/>
      <c r="G169" s="46"/>
      <c r="H169" s="46"/>
      <c r="I169" s="19"/>
      <c r="J169" s="20"/>
      <c r="K169" s="20"/>
      <c r="L169" s="67"/>
      <c r="M169" s="67"/>
      <c r="N169" s="67"/>
      <c r="O169" s="67"/>
      <c r="P169" s="67"/>
      <c r="Q169" s="68"/>
      <c r="R169" s="67"/>
      <c r="S169" s="50"/>
      <c r="T169" s="51"/>
      <c r="U169" s="14"/>
      <c r="W169" s="126"/>
    </row>
    <row r="170" spans="1:23" ht="17.25" customHeight="1" x14ac:dyDescent="0.4">
      <c r="A170" s="6" t="s">
        <v>53</v>
      </c>
      <c r="C170" s="47"/>
      <c r="D170" s="46"/>
      <c r="E170" s="10"/>
      <c r="F170" s="51"/>
      <c r="G170" s="46"/>
      <c r="H170" s="46"/>
      <c r="I170" s="19"/>
      <c r="J170" s="20"/>
      <c r="K170" s="20"/>
      <c r="L170" s="67"/>
      <c r="M170" s="67"/>
      <c r="N170" s="67"/>
      <c r="O170" s="67"/>
      <c r="P170" s="67"/>
      <c r="Q170" s="68"/>
      <c r="R170" s="67"/>
      <c r="S170" s="50"/>
      <c r="T170" s="51"/>
      <c r="U170" s="14"/>
      <c r="W170" s="126"/>
    </row>
    <row r="171" spans="1:23" s="83" customFormat="1" ht="17.25" customHeight="1" x14ac:dyDescent="0.4">
      <c r="A171" s="77" t="s">
        <v>54</v>
      </c>
      <c r="B171" s="78"/>
      <c r="C171" s="78"/>
      <c r="D171" s="78"/>
      <c r="E171" s="119"/>
      <c r="F171" s="119"/>
      <c r="G171" s="78"/>
      <c r="H171" s="78"/>
      <c r="I171" s="79"/>
      <c r="J171" s="78"/>
      <c r="K171" s="78"/>
      <c r="L171" s="78"/>
      <c r="M171" s="78"/>
      <c r="N171" s="78"/>
      <c r="O171" s="78"/>
      <c r="P171" s="78"/>
      <c r="Q171" s="80"/>
      <c r="R171" s="78"/>
      <c r="S171" s="78"/>
      <c r="T171" s="81"/>
      <c r="U171" s="82"/>
      <c r="V171" s="34"/>
      <c r="W171" s="126"/>
    </row>
    <row r="172" spans="1:23" ht="17.25" customHeight="1" x14ac:dyDescent="0.4">
      <c r="A172" s="6" t="s">
        <v>55</v>
      </c>
      <c r="C172" s="47"/>
      <c r="D172" s="46"/>
      <c r="E172" s="10"/>
      <c r="F172" s="51"/>
      <c r="G172" s="46"/>
      <c r="H172" s="46"/>
      <c r="I172" s="19"/>
      <c r="J172" s="20"/>
      <c r="K172" s="20"/>
      <c r="L172" s="67"/>
      <c r="M172" s="67"/>
      <c r="N172" s="67"/>
      <c r="O172" s="67"/>
      <c r="P172" s="67"/>
      <c r="Q172" s="68"/>
      <c r="R172" s="67"/>
      <c r="S172" s="50"/>
      <c r="T172" s="51"/>
      <c r="U172" s="14"/>
      <c r="W172" s="126"/>
    </row>
    <row r="173" spans="1:23" ht="17.25" customHeight="1" x14ac:dyDescent="0.4">
      <c r="A173" s="6" t="s">
        <v>56</v>
      </c>
      <c r="C173" s="47"/>
      <c r="D173" s="46"/>
      <c r="E173" s="10"/>
      <c r="F173" s="51"/>
      <c r="G173" s="46"/>
      <c r="H173" s="46"/>
      <c r="I173" s="19"/>
      <c r="J173" s="20"/>
      <c r="K173" s="20"/>
      <c r="L173" s="67"/>
      <c r="M173" s="67"/>
      <c r="N173" s="67"/>
      <c r="O173" s="67"/>
      <c r="P173" s="67"/>
      <c r="Q173" s="68"/>
      <c r="R173" s="67"/>
      <c r="S173" s="50"/>
      <c r="T173" s="51"/>
      <c r="U173" s="14"/>
      <c r="W173" s="126"/>
    </row>
    <row r="174" spans="1:23" ht="17.25" customHeight="1" x14ac:dyDescent="0.4">
      <c r="A174" s="6" t="s">
        <v>57</v>
      </c>
      <c r="C174" s="47"/>
      <c r="D174" s="46"/>
      <c r="E174" s="10"/>
      <c r="F174" s="51"/>
      <c r="G174" s="46"/>
      <c r="H174" s="46"/>
      <c r="I174" s="19"/>
      <c r="J174" s="20"/>
      <c r="K174" s="20"/>
      <c r="L174" s="67"/>
      <c r="M174" s="67"/>
      <c r="N174" s="67"/>
      <c r="O174" s="67"/>
      <c r="P174" s="67"/>
      <c r="Q174" s="68"/>
      <c r="R174" s="67"/>
      <c r="S174" s="50"/>
      <c r="T174" s="51"/>
      <c r="U174" s="14"/>
      <c r="W174" s="126"/>
    </row>
    <row r="175" spans="1:23" s="83" customFormat="1" ht="17.25" customHeight="1" x14ac:dyDescent="0.4">
      <c r="A175" s="69" t="s">
        <v>58</v>
      </c>
      <c r="E175" s="81"/>
      <c r="F175" s="81"/>
      <c r="I175" s="84"/>
      <c r="Q175" s="85"/>
      <c r="T175" s="81"/>
      <c r="U175" s="82"/>
      <c r="V175" s="34"/>
      <c r="W175" s="126"/>
    </row>
    <row r="176" spans="1:23" s="83" customFormat="1" ht="17.25" customHeight="1" x14ac:dyDescent="0.4">
      <c r="A176" s="69" t="s">
        <v>59</v>
      </c>
      <c r="E176" s="81"/>
      <c r="F176" s="81"/>
      <c r="I176" s="84"/>
      <c r="Q176" s="85"/>
      <c r="T176" s="81"/>
      <c r="U176" s="82"/>
      <c r="V176" s="34"/>
      <c r="W176" s="126"/>
    </row>
    <row r="177" spans="2:23" ht="17.25" customHeight="1" x14ac:dyDescent="0.4">
      <c r="B177" s="6"/>
      <c r="C177" s="6"/>
      <c r="F177" s="11"/>
      <c r="J177" s="6"/>
      <c r="K177" s="6"/>
      <c r="L177" s="6"/>
      <c r="M177" s="6"/>
      <c r="N177" s="6"/>
      <c r="O177" s="6"/>
      <c r="P177" s="6"/>
      <c r="Q177" s="52"/>
      <c r="R177" s="6"/>
      <c r="S177" s="6"/>
      <c r="T177" s="11"/>
      <c r="U177" s="87"/>
      <c r="W177" s="34"/>
    </row>
  </sheetData>
  <autoFilter ref="A7:W157"/>
  <mergeCells count="9">
    <mergeCell ref="D160:E160"/>
    <mergeCell ref="G160:H160"/>
    <mergeCell ref="I160:J160"/>
    <mergeCell ref="A2:S2"/>
    <mergeCell ref="A3:S3"/>
    <mergeCell ref="A4:S4"/>
    <mergeCell ref="D159:E159"/>
    <mergeCell ref="G159:H159"/>
    <mergeCell ref="I159:J159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2025-11-28T04:37:40Z</dcterms:created>
  <dcterms:modified xsi:type="dcterms:W3CDTF">2025-11-28T04:52:55Z</dcterms:modified>
</cp:coreProperties>
</file>